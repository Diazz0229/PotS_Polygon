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ценка" sheetId="1" r:id="rId5"/>
    <sheet state="visible" name="Базовые таблицы" sheetId="2" r:id="rId6"/>
    <sheet state="visible" name="Параметры персонажа" sheetId="3" r:id="rId7"/>
    <sheet state="visible" name="Навыки персонажа" sheetId="4" r:id="rId8"/>
    <sheet state="visible" name="Оазисы и локации" sheetId="5" r:id="rId9"/>
    <sheet state="visible" name="Существа и биомы" sheetId="6" r:id="rId10"/>
    <sheet state="visible" name="Температура и погода" sheetId="7" r:id="rId11"/>
    <sheet state="visible" name="Инвентарь" sheetId="8" r:id="rId12"/>
    <sheet state="visible" name="Бой" sheetId="9" r:id="rId13"/>
    <sheet state="visible" name="DT_CharacterStatsConstants" sheetId="10" r:id="rId14"/>
    <sheet state="visible" name="DT_WorldConstants" sheetId="11" r:id="rId15"/>
  </sheets>
  <definedNames>
    <definedName hidden="1" localSheetId="0" name="_xlnm._FilterDatabase">'Оценка'!$A$3:$F$99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tc={229a522c-e0b8-4430-a442-07a36b65ca9b}</author>
    <author>tc={391fa472-127f-4bfd-93ee-7a02c15cc190}</author>
    <author>tc={3c1d5cad-9fb2-4694-96c8-7c38ab258ea9}</author>
    <author>tc={44f2beba-fa64-4077-83d3-e7d3cad3af34}</author>
    <author>tc={5ade1418-c97d-4e68-beb7-1e892bae4606}</author>
    <author>tc={5e4ec19d-097e-436b-9c9a-b558f7cc6e5d}</author>
    <author>tc={6b83d017-adbe-47c0-8812-0323b1d74033}</author>
    <author>tc={82529c91-fdb0-462d-bb10-7f3611feca63}</author>
    <author>tc={9e047291-a5fa-48a6-b5d9-312cc239637d}</author>
    <author>tc={b832274d-46b1-41d0-a73a-51e528616727}</author>
    <author>tc={bb0d445a-f32d-49af-8920-ee0166a46169}</author>
    <author>tc={dcbbd496-363c-4a63-b1bf-aaea1174c5c6}</author>
    <author>tc={efe37041-1953-474e-a983-9b94ed29c35f}</author>
  </authors>
  <commentList>
    <comment authorId="0" xr:uid="{229a522c-e0b8-4430-a442-07a36b65ca9b}" ref="M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Скорость ПАДЕНИЯ в движке
Reply:
	нинада
у нас это не усталость а именно бодрость - постоянный параметр, который именно падает от действий
</t>
      </text>
    </comment>
    <comment authorId="1" xr:uid="{391fa472-127f-4bfd-93ee-7a02c15cc190}" ref="M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Проверяем от самого страшного, иначе легкое кровотечение будет всегда срабатывать при сильном раненни
Reply:
	Все раны и кровотечения могут стакаться.
</t>
      </text>
    </comment>
    <comment authorId="2" xr:uid="{3c1d5cad-9fb2-4694-96c8-7c38ab258ea9}" ref="M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Сколько тепла излучает персонаж игрока для других игроков, в зависимости от своей температуры. Или на себя всё-таки тоже действует?
</t>
      </text>
    </comment>
    <comment authorId="3" xr:uid="{44f2beba-fa64-4077-83d3-e7d3cad3af34}" ref="M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Вроде отказались от статы
</t>
      </text>
    </comment>
    <comment authorId="4" xr:uid="{5ade1418-c97d-4e68-beb7-1e892bae4606}" ref="O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Влияет ли на эту скорость ещё и модификатор истощения?
Reply:
	Не влияет
</t>
      </text>
    </comment>
    <comment authorId="5" xr:uid="{5e4ec19d-097e-436b-9c9a-b558f7cc6e5d}" ref="C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Вроде отказались от болезненности как отдельной статы
</t>
      </text>
    </comment>
    <comment authorId="6" xr:uid="{6b83d017-adbe-47c0-8812-0323b1d74033}" ref="D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Если состояние изменилось - как снимается перегрев или переохлаждение? С каким шагом?
Reply:
	а вот это интересны вопрос, нужно подумать
пока предложу инвертировать скорость для того остояния, из которого вышли
</t>
      </text>
    </comment>
    <comment authorId="7" xr:uid="{82529c91-fdb0-462d-bb10-7f3611feca63}" ref="C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Это среднее по всей одежде, или сумма?
Reply:
	а это сумма
</t>
      </text>
    </comment>
    <comment authorId="8" xr:uid="{9e047291-a5fa-48a6-b5d9-312cc239637d}" ref="M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Забыли добавить. Это "дыхалка" - тратится на бег, удары и прыжки
Reply:
	это уже есть - бодрость
</t>
      </text>
    </comment>
    <comment authorId="9" xr:uid="{b832274d-46b1-41d0-a73a-51e528616727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Разум - это видимо Ментальное состояние. А психика?
</t>
      </text>
    </comment>
    <comment authorId="10" xr:uid="{bb0d445a-f32d-49af-8920-ee0166a46169}" ref="D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Сумма, или всё-таки среднее значение?
Reply:
	среднее
</t>
      </text>
    </comment>
    <comment authorId="11" xr:uid="{dcbbd496-363c-4a63-b1bf-aaea1174c5c6}" ref="F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Тут точно термоизоляция? Не термовыделение?
Reply:
	ты прав, поправил
</t>
      </text>
    </comment>
    <comment authorId="12" xr:uid="{efe37041-1953-474e-a983-9b94ed29c35f}" ref="M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Что есть уровень раны?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tc={05ee47cb-fdf2-48e7-b95f-f30c09b8d67c}</author>
    <author>tc={301fb685-1c40-4d52-8a85-2c1eec207e79}</author>
    <author>tc={89de4564-f456-45ac-9e2c-7a8a927a6af2}</author>
    <author>tc={96bee041-78dc-4490-8e11-4c35f1345b75}</author>
  </authors>
  <commentList>
    <comment authorId="0" xr:uid="{05ee47cb-fdf2-48e7-b95f-f30c09b8d67c}" ref="O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Еда пропадает с шансом порчи раз в тик (раз в сутки). Если это консерва - она не портится пока игрок её не откроет.
</t>
      </text>
    </comment>
    <comment authorId="1" xr:uid="{301fb685-1c40-4d52-8a85-2c1eec207e79}" ref="T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Стрелковое - влияет на шанс осечки, ближнее -на урон
</t>
      </text>
    </comment>
    <comment authorId="2" xr:uid="{89de4564-f456-45ac-9e2c-7a8a927a6af2}" ref="U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Шанс траты прочности. У одноразовых предметов - прочность 1.
</t>
      </text>
    </comment>
    <comment authorId="3" xr:uid="{96bee041-78dc-4490-8e11-4c35f1345b75}" ref="E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Влияет на то можно ли взять в любой слот кармана, или только в большие слоты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tc={b57a3b2f-3828-43e1-8394-3592c08a8458}</author>
  </authors>
  <commentList>
    <comment authorId="0" xr:uid="{b57a3b2f-3828-43e1-8394-3592c08a8458}" ref="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Отказались
</t>
      </text>
    </comment>
  </commentList>
</comments>
</file>

<file path=xl/sharedStrings.xml><?xml version="1.0" encoding="utf-8"?>
<sst xmlns="http://schemas.openxmlformats.org/spreadsheetml/2006/main" count="1753" uniqueCount="685">
  <si>
    <t>Ближний бой</t>
  </si>
  <si>
    <t>Уровень</t>
  </si>
  <si>
    <t>Урон</t>
  </si>
  <si>
    <t>Скорость</t>
  </si>
  <si>
    <t>Обучение навыкам</t>
  </si>
  <si>
    <t>есть явная положительная маркировка на экране</t>
  </si>
  <si>
    <t>Базовые характеристики монстра по эпохам</t>
  </si>
  <si>
    <t>Основные параметры</t>
  </si>
  <si>
    <t>100 пунктов [6]</t>
  </si>
  <si>
    <t>99-80 пунктов [5]</t>
  </si>
  <si>
    <t>79-60 пунктов [4]</t>
  </si>
  <si>
    <t>Минут на уровень</t>
  </si>
  <si>
    <t>Живучесть</t>
  </si>
  <si>
    <t>Минут всего на достижение</t>
  </si>
  <si>
    <t>59-40 пунктов [3]</t>
  </si>
  <si>
    <t>39-20 пунктов [2]</t>
  </si>
  <si>
    <t>Сессий на достижение</t>
  </si>
  <si>
    <t>19-1 пункт [1]</t>
  </si>
  <si>
    <t>Дней на достижение</t>
  </si>
  <si>
    <t>0 пунктов [0]</t>
  </si>
  <si>
    <t>Эпоха</t>
  </si>
  <si>
    <t>Производные параметры</t>
  </si>
  <si>
    <t>ДПС оружия персонажа</t>
  </si>
  <si>
    <t>Значение</t>
  </si>
  <si>
    <t>Броня персонажа</t>
  </si>
  <si>
    <t>Тип</t>
  </si>
  <si>
    <t>ХПС персонажа</t>
  </si>
  <si>
    <t>Реген за тик</t>
  </si>
  <si>
    <t>Оружейный навык персонажа</t>
  </si>
  <si>
    <t>Потеря бордрости от урона</t>
  </si>
  <si>
    <t>Урон атаки персонажа</t>
  </si>
  <si>
    <t>есть слабая положительная маркировка на экране</t>
  </si>
  <si>
    <t>Базовая броня монстра</t>
  </si>
  <si>
    <t>Здоровье</t>
  </si>
  <si>
    <t>Ускорение восстановления 2</t>
  </si>
  <si>
    <t>Ускорение восстановления 1</t>
  </si>
  <si>
    <t>Базовые хиты монстра</t>
  </si>
  <si>
    <t>Базовый урон монстра</t>
  </si>
  <si>
    <t>Штраф на скорость движений 1</t>
  </si>
  <si>
    <t>Штраф на скорость движений 2, ускорение истощения 1</t>
  </si>
  <si>
    <t>Мотивация</t>
  </si>
  <si>
    <t>Штраф на скорость движений 3, ускорение истощения 2, замедление  восстановления 1</t>
  </si>
  <si>
    <t>При смерти или без сознания, ускорение истощения 3, замедление  восстановления 2</t>
  </si>
  <si>
    <t>Игра - реф</t>
  </si>
  <si>
    <t>Скорость восстановления здоровья в игровой час</t>
  </si>
  <si>
    <t>Примитивная</t>
  </si>
  <si>
    <t>Восстановление</t>
  </si>
  <si>
    <t>Столбец 1</t>
  </si>
  <si>
    <t>Игра</t>
  </si>
  <si>
    <t>нет маркировки на экране</t>
  </si>
  <si>
    <t>Сытость</t>
  </si>
  <si>
    <t>Ускорение восстановления 5</t>
  </si>
  <si>
    <t>FTUE</t>
  </si>
  <si>
    <t>замедление  восстановления 1</t>
  </si>
  <si>
    <t>замедление  восстановления 3</t>
  </si>
  <si>
    <t>начало</t>
  </si>
  <si>
    <t>замедление  восстановления 10, повреждение здоровья 1</t>
  </si>
  <si>
    <t>Скорость падения сытости в игровой час</t>
  </si>
  <si>
    <t>середина</t>
  </si>
  <si>
    <t>конец</t>
  </si>
  <si>
    <t>Истощение</t>
  </si>
  <si>
    <t>есть редкий периодический звуковой маркер</t>
  </si>
  <si>
    <t>Гидрация</t>
  </si>
  <si>
    <t>Ускорение восстановления 3</t>
  </si>
  <si>
    <t>замедление  восстановления 3, повреждение здоровья 1</t>
  </si>
  <si>
    <t>замедление  восстановления 10, повреждение здоровья 2</t>
  </si>
  <si>
    <t>Скорость падения гидрации в игровой час</t>
  </si>
  <si>
    <t>Выжить любой ценой</t>
  </si>
  <si>
    <t>Miscreated</t>
  </si>
  <si>
    <t>есть слабая отрицательная маркировка на экране, периодический звуковой маркер</t>
  </si>
  <si>
    <t>Ментальное состояние</t>
  </si>
  <si>
    <t>Улучшенное восприятие 2, Ускорение восстановления 2</t>
  </si>
  <si>
    <t>Улучшенное восприятие 1, Ускорение восстановления 1</t>
  </si>
  <si>
    <t>Штраф на скорость действий 1</t>
  </si>
  <si>
    <t>Ухудшение восприятия 1, Штраф на скорость действий 1</t>
  </si>
  <si>
    <t>Высокая</t>
  </si>
  <si>
    <t>Ухудшение восприятия 2, Штраф на скорость действий 2</t>
  </si>
  <si>
    <t>Ухудшение восприятия 3, Штраф на скорость действий 3</t>
  </si>
  <si>
    <t>Скорость восстановления ментального состояния в игровой час</t>
  </si>
  <si>
    <t>Средняя</t>
  </si>
  <si>
    <t>Низкая</t>
  </si>
  <si>
    <t>Железа</t>
  </si>
  <si>
    <t>есть явная маркировка на экране, частый звуковой маркер</t>
  </si>
  <si>
    <t>Температурный баланс - перегрев</t>
  </si>
  <si>
    <t>замедление  восстановления 3, повреждение здоровья 2, Штраф на скорость движений 1, повреждение гидрации 2</t>
  </si>
  <si>
    <t>замедление  восстановления 2, повреждение здоровья 1, повреждение гидрации 1</t>
  </si>
  <si>
    <t>Скорость восстановления бодрости в игровой час</t>
  </si>
  <si>
    <t>7 Days to Die</t>
  </si>
  <si>
    <t>Средняя/Выс.</t>
  </si>
  <si>
    <t>сверх-явная маркировка на экране, навязчивый звуковой маркер</t>
  </si>
  <si>
    <t>Температурный баланс - переохлаждение</t>
  </si>
  <si>
    <t>замедление  восстановления 3, повреждение здоровья 1, Штраф на скорость движений 1, повреждение сытости 2</t>
  </si>
  <si>
    <t>замедление  восстановления 2, повреждение сытости 1</t>
  </si>
  <si>
    <t>Скорость выведения токсинов в игровой час</t>
  </si>
  <si>
    <t>Пара</t>
  </si>
  <si>
    <t>Бодрость</t>
  </si>
  <si>
    <t>Бонус скорости движений 2</t>
  </si>
  <si>
    <t>Бонус скорости движений 1</t>
  </si>
  <si>
    <t>Штраф на скорость движений 2, ускорение истощения 1, Штраф на скорость действий 1</t>
  </si>
  <si>
    <t>Штраф на скорость движений 3, запрет бега, прыжков, паркура и т.д., ускорение истощения 2, Штраф на скорость действий 2</t>
  </si>
  <si>
    <t>Project Zomboid</t>
  </si>
  <si>
    <t>Скорость выведения радиации в игровой час</t>
  </si>
  <si>
    <t>Нефти</t>
  </si>
  <si>
    <t>Максимальная</t>
  </si>
  <si>
    <t>Отравление</t>
  </si>
  <si>
    <t>замедление  восстановления 5, повреждение здоровья 3, повреждение гидрации 5, повреждение сытости 2</t>
  </si>
  <si>
    <t>замедление  восстановления 4, повреждение здоровья 2, повреждение гидрации 3, повреждение сытости 1</t>
  </si>
  <si>
    <t>замедление  восстановления 3, повреждение здоровья 1, повреждение гидрации 2</t>
  </si>
  <si>
    <t>замедление  восстановления 2, повреждение гидрации 1</t>
  </si>
  <si>
    <t>Город-лес</t>
  </si>
  <si>
    <t>Многоэтажка</t>
  </si>
  <si>
    <t>Радиационное заражение</t>
  </si>
  <si>
    <t>вес при генерации</t>
  </si>
  <si>
    <t>Атома</t>
  </si>
  <si>
    <t>замедление  восстановления 5, повреждение здоровья 5, повреждение сытости 2, повреждение гидрации 2</t>
  </si>
  <si>
    <t>тут картинка</t>
  </si>
  <si>
    <t>замедление  восстановления 4, повреждение здоровья 3, повреждение сытости 1, повреждение гидрации 1</t>
  </si>
  <si>
    <t>Space Engineers</t>
  </si>
  <si>
    <t>тут ссылка на ассет</t>
  </si>
  <si>
    <t>замедление  восстановления 2</t>
  </si>
  <si>
    <t>Скорость выведения болевого шока в игровой час</t>
  </si>
  <si>
    <t>Минимальная</t>
  </si>
  <si>
    <t>Болевой шок</t>
  </si>
  <si>
    <t>замедление  восстановления 5, повреждение здоровья 3, повреждение ментала 3</t>
  </si>
  <si>
    <t>замедление  восстановления 4, повреждение здоровья 2, повреждение ментала 2</t>
  </si>
  <si>
    <t>замедление  восстановления 3, повреждение ментала 1</t>
  </si>
  <si>
    <t>Новейшая</t>
  </si>
  <si>
    <t xml:space="preserve">Шаг ускорения восстановления </t>
  </si>
  <si>
    <t>Модификатор</t>
  </si>
  <si>
    <t>Valheim</t>
  </si>
  <si>
    <t xml:space="preserve">Шаг замедления восстановления </t>
  </si>
  <si>
    <t>Великая цель</t>
  </si>
  <si>
    <t>Шаг ускорения истощения</t>
  </si>
  <si>
    <t>Шаг замедления истощения</t>
  </si>
  <si>
    <t>The Planet Crafter</t>
  </si>
  <si>
    <t>Внешние факторы</t>
  </si>
  <si>
    <t>Средняя/Макс</t>
  </si>
  <si>
    <t xml:space="preserve">Лимит макс восстановления </t>
  </si>
  <si>
    <t>Лимит</t>
  </si>
  <si>
    <t>Повышение разовое</t>
  </si>
  <si>
    <t>Уменьшение разовое</t>
  </si>
  <si>
    <t>Повышение по времени</t>
  </si>
  <si>
    <t>Понижение по времени</t>
  </si>
  <si>
    <t>Ускорение естественного уменьшения</t>
  </si>
  <si>
    <t>Ускорение естественного повышения</t>
  </si>
  <si>
    <t xml:space="preserve">Лимит мин восстановления </t>
  </si>
  <si>
    <t>Хлеб насущный</t>
  </si>
  <si>
    <t>Стимуляторы 5+ эпоха</t>
  </si>
  <si>
    <t>Удары мобов, объекты ландшафта (лавины, кустарники), ловушки (колья, стекло и т.д.), явления внутри погоды (молнии, торнадо, летающие объекты), падение.</t>
  </si>
  <si>
    <t>Константа</t>
  </si>
  <si>
    <t>Стимуляторы и медикаменты, погода (бури, самумы и т.д.)</t>
  </si>
  <si>
    <t>Отдых с учетом комфорта</t>
  </si>
  <si>
    <t>Лимит макс истощения</t>
  </si>
  <si>
    <t>Соотношение игрового времени к реальному</t>
  </si>
  <si>
    <t>Время базового обучения, мин</t>
  </si>
  <si>
    <t>Реальное</t>
  </si>
  <si>
    <t>Игровое</t>
  </si>
  <si>
    <t>Еда</t>
  </si>
  <si>
    <t>Постэффект некоторых напитков, медикаментов и наркотиков, Промывающие препараты</t>
  </si>
  <si>
    <t>Алкоголь, наркотики</t>
  </si>
  <si>
    <t>Лимит мин истощения</t>
  </si>
  <si>
    <t>Сессия , мин</t>
  </si>
  <si>
    <t>4 часа</t>
  </si>
  <si>
    <t>сутки</t>
  </si>
  <si>
    <t>Напитки</t>
  </si>
  <si>
    <t>Сессий в день</t>
  </si>
  <si>
    <t>1 час</t>
  </si>
  <si>
    <t>Шаг бонуса скорости движения</t>
  </si>
  <si>
    <t>6 часов</t>
  </si>
  <si>
    <t>Базовый ДПС, хит</t>
  </si>
  <si>
    <t>1 минута</t>
  </si>
  <si>
    <t>6 минут</t>
  </si>
  <si>
    <t>Атаки пси-монстров, аномалии, смерть союзника</t>
  </si>
  <si>
    <t>Постэффект некоторых напитков, медикаментов и наркотиков</t>
  </si>
  <si>
    <t>Нахождение в жутких местах, рядом с аномалией</t>
  </si>
  <si>
    <t>Базовые хиты персонажа, хит</t>
  </si>
  <si>
    <t>Красивые места, отдых с комфортом</t>
  </si>
  <si>
    <t>Шаг штрафа скорости движения</t>
  </si>
  <si>
    <t>Базовая броня, хит</t>
  </si>
  <si>
    <t>Атаки огнем и горящим оружием</t>
  </si>
  <si>
    <t>Атаки холодом</t>
  </si>
  <si>
    <t>Подсчет ниже</t>
  </si>
  <si>
    <t>Базовая атака, сек</t>
  </si>
  <si>
    <t>Ветер</t>
  </si>
  <si>
    <t>Яркое солнце</t>
  </si>
  <si>
    <t>Лимит макс скорости движения</t>
  </si>
  <si>
    <t>Убийство равноценного противника, сек</t>
  </si>
  <si>
    <t>Ожидаемое отражение вреда броней монстра</t>
  </si>
  <si>
    <t>Базовый коэффициент времени</t>
  </si>
  <si>
    <t>Лимит мин скорости движения</t>
  </si>
  <si>
    <t>Базовый срок регенерации здоровья, игровые часы</t>
  </si>
  <si>
    <t>Энергетики различного происхождения, наркотики</t>
  </si>
  <si>
    <t>Постэффект некоторых напитков, медикаментов и наркотиков, любые движения и действия - удары, прыжки, акробатика, крафт, добыча и т.д.</t>
  </si>
  <si>
    <t>Базовый срок голода, игровые часы</t>
  </si>
  <si>
    <t>Отдых, комфорт</t>
  </si>
  <si>
    <t>Скорость замерзания в игровой час</t>
  </si>
  <si>
    <t>Базовый срок жажды, игровые часы</t>
  </si>
  <si>
    <t>Базовый срок восстановления ментального состояния, игровые часы</t>
  </si>
  <si>
    <t>Базовый срок восстановления состояния тела, игровые часы</t>
  </si>
  <si>
    <t>Употребление содержащей вещества воды и еды</t>
  </si>
  <si>
    <t>Промывающие препараты</t>
  </si>
  <si>
    <t>Базовый срок выведения токсинов, игровые часы</t>
  </si>
  <si>
    <t>Нахождение в отравленной местности, кислотные дожди</t>
  </si>
  <si>
    <t>Лекарства</t>
  </si>
  <si>
    <t>Скорость перегреа игровой час</t>
  </si>
  <si>
    <t>Параметры мобов</t>
  </si>
  <si>
    <t>Базовый срок выведения радиации, игровые часы</t>
  </si>
  <si>
    <t>Изменерние</t>
  </si>
  <si>
    <t>Базовый срок выведения болезни, игровые часы</t>
  </si>
  <si>
    <t>Регенерация здоровья</t>
  </si>
  <si>
    <t>Регенерация бодрости</t>
  </si>
  <si>
    <t>Базовый срок выведения шока, игровые часы</t>
  </si>
  <si>
    <t>Храбрость</t>
  </si>
  <si>
    <t>Промывающие препараты, антирадиационные препараты</t>
  </si>
  <si>
    <t>Вес</t>
  </si>
  <si>
    <t>Нахождение в радиационной местности, ношение радиоактивных предметов, попадание под радиоактивные осадки</t>
  </si>
  <si>
    <t>Период размножения</t>
  </si>
  <si>
    <t>Рождаемость</t>
  </si>
  <si>
    <t>Базовый срок перегрева, игровые часы</t>
  </si>
  <si>
    <t>Шаг скорости повреждения здоровья в игровой час</t>
  </si>
  <si>
    <t>Базовый срок замерзания, игровые часы</t>
  </si>
  <si>
    <t>Минимальная кофортная температура, градусы</t>
  </si>
  <si>
    <t>Получение урона или травмы</t>
  </si>
  <si>
    <t>Антишоковые препараты, алкоголь, наркотики</t>
  </si>
  <si>
    <t>Активность с травмой</t>
  </si>
  <si>
    <t>Обезбаливающие</t>
  </si>
  <si>
    <t>Лимит скорости повреждения здоровья в игровой час</t>
  </si>
  <si>
    <t>Максимальная кофортная температура, градусы</t>
  </si>
  <si>
    <t>Базовое время полной потери здоровья, игровые часы</t>
  </si>
  <si>
    <t>Минимальное время полной потери здоровья, игровые часы</t>
  </si>
  <si>
    <t>Минимальная комфортная температура, С</t>
  </si>
  <si>
    <t>Дом милый дом</t>
  </si>
  <si>
    <t>Базовая усталость при средней деятельности, игровой час</t>
  </si>
  <si>
    <t>Максимальная комфортная температура, С</t>
  </si>
  <si>
    <t>Базовое время полной потери ментала, игровые часы</t>
  </si>
  <si>
    <t>Скорость таймера обновления состояния, в секундах.</t>
  </si>
  <si>
    <t>Параметры влияющие на терморегуляцию</t>
  </si>
  <si>
    <t>Минимальное время полной потери менталы, игровые часы</t>
  </si>
  <si>
    <t>Скорость течения игрового часа, в секундах</t>
  </si>
  <si>
    <t>Параметр</t>
  </si>
  <si>
    <t>Базовое значение</t>
  </si>
  <si>
    <t>Трата бодрости, единичное слабое действие (бросок легкого предмета, удар рукой или ножем)</t>
  </si>
  <si>
    <t>Температура окружающей среды</t>
  </si>
  <si>
    <t>от погоды</t>
  </si>
  <si>
    <t>Трата бодрости, единичное среднее действие (толчок противника, пинок, прыжок, удар копьем, выстрел мз лука, метание ножей и копий)</t>
  </si>
  <si>
    <t>Трата бодрости, единичное сильное действие (паркур, слом преград)</t>
  </si>
  <si>
    <t>Трата бодрости, длительное слабое действие (ходьба, крафт) игровой час</t>
  </si>
  <si>
    <t>Таблица источников тепла</t>
  </si>
  <si>
    <t>Источник</t>
  </si>
  <si>
    <t>Радиус, метр</t>
  </si>
  <si>
    <t>Температура</t>
  </si>
  <si>
    <t>Мощность</t>
  </si>
  <si>
    <t>Вычисление текущей базовой температы</t>
  </si>
  <si>
    <t>Смотрим таблицу сезонов, модифицируем на день/ночь</t>
  </si>
  <si>
    <t>Условия продолжения</t>
  </si>
  <si>
    <t>Человек</t>
  </si>
  <si>
    <t>Старт с базовой погоды для месяца</t>
  </si>
  <si>
    <t>Термоизоляция одежды, %</t>
  </si>
  <si>
    <t>Всегда запускается именно эта, если при переходе на продолжение не найдена другая погода</t>
  </si>
  <si>
    <t>сумма по одежде</t>
  </si>
  <si>
    <t>Температура среды</t>
  </si>
  <si>
    <t>Выбор периода действия погоды</t>
  </si>
  <si>
    <t>указано для каждой погоды - рандом мин-макс</t>
  </si>
  <si>
    <t>Сезон/месяц</t>
  </si>
  <si>
    <t>Модификация списка продолжений</t>
  </si>
  <si>
    <t>Трата бодрости, длительное среднее действие (легкий бег, плавание) игровой час</t>
  </si>
  <si>
    <t>Проверка условий доступных продолжений, исключение недоступных</t>
  </si>
  <si>
    <t>Время суток</t>
  </si>
  <si>
    <t xml:space="preserve">Выбор следующий погоды </t>
  </si>
  <si>
    <t>рандом по весам из всего списка</t>
  </si>
  <si>
    <t>Игровое условие аномалии</t>
  </si>
  <si>
    <t>Переход в п.3</t>
  </si>
  <si>
    <t>Пункты опасности????</t>
  </si>
  <si>
    <t>Системе известны 3 последующие погоды</t>
  </si>
  <si>
    <t>Тепловыведение одежды, %</t>
  </si>
  <si>
    <t>Изменение температуры от окружения</t>
  </si>
  <si>
    <t>Трата бодрости, длительное сильное действие (спринт, подъем по вертикальной лестнице, добыча ископаемых) игровой час</t>
  </si>
  <si>
    <t>Таблица видов (уровней) укрытий</t>
  </si>
  <si>
    <t>Изменение минимальной комфортной температуры одежды, С</t>
  </si>
  <si>
    <t>Температура ощущений</t>
  </si>
  <si>
    <t>Страшна, выключай!</t>
  </si>
  <si>
    <t>Коэффициент ускорения восстановления здоровья для отдыха</t>
  </si>
  <si>
    <t>Таблица базовой температуры по месяцам</t>
  </si>
  <si>
    <t>Изменение максимальной комфортной температуры одежды, С</t>
  </si>
  <si>
    <t>Фактор изоляции</t>
  </si>
  <si>
    <t>Месяц</t>
  </si>
  <si>
    <t>умеренный</t>
  </si>
  <si>
    <t>субполярный</t>
  </si>
  <si>
    <t>Коэффициент ускорения восстановления бодрости для отдыха</t>
  </si>
  <si>
    <t>субтропик</t>
  </si>
  <si>
    <t>январь</t>
  </si>
  <si>
    <t>февраль</t>
  </si>
  <si>
    <t>Термоизоляция помещения, %</t>
  </si>
  <si>
    <t>от укрытия</t>
  </si>
  <si>
    <t>март</t>
  </si>
  <si>
    <t>Коэффициент ускорения восстановления ментала для отдыха</t>
  </si>
  <si>
    <t>апрель</t>
  </si>
  <si>
    <t>май</t>
  </si>
  <si>
    <t>июнь</t>
  </si>
  <si>
    <t>Температура объектов окружения</t>
  </si>
  <si>
    <t>среднее по объектам</t>
  </si>
  <si>
    <t>июль</t>
  </si>
  <si>
    <t>Коэффициент ускорения восстановления здоровья для сна</t>
  </si>
  <si>
    <t>август</t>
  </si>
  <si>
    <t>сентябрь</t>
  </si>
  <si>
    <t>октябрь</t>
  </si>
  <si>
    <t>Влажность одежды</t>
  </si>
  <si>
    <t>среднее по одежде</t>
  </si>
  <si>
    <t>ноябрь</t>
  </si>
  <si>
    <t>Коэффициент ускорения восстановления бодрости для сна</t>
  </si>
  <si>
    <t>декабрь</t>
  </si>
  <si>
    <t>Таблица светового дня по месяцам</t>
  </si>
  <si>
    <t>Коэффициент ускорения восстановления ментала для сна</t>
  </si>
  <si>
    <t>Параметры влияющие на терморегуляцию ПРИМЕР</t>
  </si>
  <si>
    <t>Коэффициент ускорения восстановления за уровень комфорта</t>
  </si>
  <si>
    <t>Текущее значение</t>
  </si>
  <si>
    <t>Комментарий</t>
  </si>
  <si>
    <t>Базовая скорость персонажа</t>
  </si>
  <si>
    <t>Заморозок</t>
  </si>
  <si>
    <t>Шаг скорости повреждения ментала в игровой час</t>
  </si>
  <si>
    <t>Лимит скорости повреждения ментала в игровой час</t>
  </si>
  <si>
    <t>Скорость таймера подсчета ближайших источников тепла, сек</t>
  </si>
  <si>
    <t>Комплект теплой одежды</t>
  </si>
  <si>
    <t>Очень нужный человек</t>
  </si>
  <si>
    <t>Соотношение увелечини скорости расхода кислорода за 1% потерянной бодрости</t>
  </si>
  <si>
    <t>Максимальный переносимый вес</t>
  </si>
  <si>
    <t>Слабое кровотечение пункты/игровой час</t>
  </si>
  <si>
    <t>Среднее кровотечение пункты/игровой час</t>
  </si>
  <si>
    <t>Термоизоляция пространства, %</t>
  </si>
  <si>
    <t>Туристическая палатка</t>
  </si>
  <si>
    <t>Сильное кровотечение пункты/игровой час</t>
  </si>
  <si>
    <t>В палатке один человек (30С) и мощность 1</t>
  </si>
  <si>
    <t>Базовый шанс понижения кровотечения %/игровой час</t>
  </si>
  <si>
    <t>Горит газовая горелка (100 С) и мощность 0,5</t>
  </si>
  <si>
    <t>Отравление от малой раны при воспалении пункты/игровой час</t>
  </si>
  <si>
    <t xml:space="preserve"> и горит газовая горелка (50С)</t>
  </si>
  <si>
    <t>Отравление от средней раны при воспалении пункты/игровой час</t>
  </si>
  <si>
    <t>Персонаж сильно промок</t>
  </si>
  <si>
    <t>Отравление от сильной раны при воспалении пункты/игровой час</t>
  </si>
  <si>
    <t>Базовый шанс понижения раны %/игровой час</t>
  </si>
  <si>
    <t>Базовый шанс воспаления раны %/игровой час</t>
  </si>
  <si>
    <t>Логика</t>
  </si>
  <si>
    <t>Базовый шанс прекращения воспаления раны %/игровой час</t>
  </si>
  <si>
    <t>1. Подсчет температуры для персонажа, ощущения С</t>
  </si>
  <si>
    <t>Болевой шок от движений от малой раны пункты/действие</t>
  </si>
  <si>
    <t>2. Подсчет минимальной комфортной температуры</t>
  </si>
  <si>
    <t>Болевой шок от движений от средней раны пункты/действие</t>
  </si>
  <si>
    <t>3. Подсчет максимальной комфортной температуры</t>
  </si>
  <si>
    <t>Болевой шок от движений от сильной раны пункты/действие</t>
  </si>
  <si>
    <t>4. Проверка соответствия диапазону комфорта</t>
  </si>
  <si>
    <t>Таблица снаряжения</t>
  </si>
  <si>
    <t>Профессиональный рост</t>
  </si>
  <si>
    <t>ККал на 1 пункт еды</t>
  </si>
  <si>
    <t>Шанс получения слабой раны на пункт урона</t>
  </si>
  <si>
    <t>5. Вычисление скорости изменения параметра в игровой час</t>
  </si>
  <si>
    <t>Freezing:</t>
  </si>
  <si>
    <t>Название</t>
  </si>
  <si>
    <t>Скорость замерзания в игровой час*(1+Влажность одежды)*(1-Термоизоляция одежды, %)</t>
  </si>
  <si>
    <t>слот</t>
  </si>
  <si>
    <t>Прочность</t>
  </si>
  <si>
    <t>Шанс получения средней раны на пункт урона</t>
  </si>
  <si>
    <t>Мин комф тем, С</t>
  </si>
  <si>
    <t>Макс комф тем, С</t>
  </si>
  <si>
    <t>Термоизоляция, %</t>
  </si>
  <si>
    <t>Тепловыведение, %</t>
  </si>
  <si>
    <t>Влагостойкость, %</t>
  </si>
  <si>
    <t>Overheat:</t>
  </si>
  <si>
    <t>слот инвентаря</t>
  </si>
  <si>
    <t>Скорость перегреа игровой час*(1-Влажность одежды)*(1-Тепловыделеие одежды, %)</t>
  </si>
  <si>
    <t>уменьш. веса</t>
  </si>
  <si>
    <t>карманы</t>
  </si>
  <si>
    <t>Броня ближний бой</t>
  </si>
  <si>
    <t>Броня дальний бой</t>
  </si>
  <si>
    <t>Шанс получения сильной раны на пункт урона</t>
  </si>
  <si>
    <t>Шанс повреждения</t>
  </si>
  <si>
    <t>Допсвойство</t>
  </si>
  <si>
    <t>Шанс получения слабого кровотечения на уровень раны</t>
  </si>
  <si>
    <t>ККал на сутки</t>
  </si>
  <si>
    <t>Шанс получения среднего кровотечения на уровень раны</t>
  </si>
  <si>
    <t>Шанс получения сильного кровотечения на уровень раны</t>
  </si>
  <si>
    <t>Название переменных в движке:</t>
  </si>
  <si>
    <t>Возможно стоит заменить название:</t>
  </si>
  <si>
    <t>Шанс получения получения перелома на уровень раны</t>
  </si>
  <si>
    <t>Воды на сутки, л</t>
  </si>
  <si>
    <t>Health</t>
  </si>
  <si>
    <t>литров на 1 пункт гидрации</t>
  </si>
  <si>
    <t>Болевой шок от движений от  перелома  пункты/действие</t>
  </si>
  <si>
    <t>Hunger</t>
  </si>
  <si>
    <t>Thirst</t>
  </si>
  <si>
    <t>Вода</t>
  </si>
  <si>
    <t>ячейка инвентаря , литров</t>
  </si>
  <si>
    <t>Синдром хомяка</t>
  </si>
  <si>
    <t>Sanity</t>
  </si>
  <si>
    <t>Temperature / Thermoregulation</t>
  </si>
  <si>
    <t>Терморегуляция</t>
  </si>
  <si>
    <t>Отдельная шкала</t>
  </si>
  <si>
    <t>-</t>
  </si>
  <si>
    <t>Vigor</t>
  </si>
  <si>
    <t>Toxins</t>
  </si>
  <si>
    <t>А нужны ли все 4?</t>
  </si>
  <si>
    <t>Рвота, понос, температура</t>
  </si>
  <si>
    <t>Radiation</t>
  </si>
  <si>
    <t>Рвота, понос, болевой шок, ттемпература</t>
  </si>
  <si>
    <t>Стресс, боль, бодрость+, затем резкий минус</t>
  </si>
  <si>
    <t>Таблица расходников</t>
  </si>
  <si>
    <t>Размер</t>
  </si>
  <si>
    <t>Пак</t>
  </si>
  <si>
    <t>Применение</t>
  </si>
  <si>
    <t>Список объектов, влияющих на персонажа:</t>
  </si>
  <si>
    <t>Ментал</t>
  </si>
  <si>
    <t>Консерва</t>
  </si>
  <si>
    <t>порча</t>
  </si>
  <si>
    <t>Шанс порчи в сутки</t>
  </si>
  <si>
    <t>Костер, факела, свечи</t>
  </si>
  <si>
    <t>Смена погоды (разная влажность)</t>
  </si>
  <si>
    <t>Мясо мелкой дичи сырое</t>
  </si>
  <si>
    <t>обычный</t>
  </si>
  <si>
    <t>перорально</t>
  </si>
  <si>
    <t>Другие живые существа</t>
  </si>
  <si>
    <t>нет</t>
  </si>
  <si>
    <t>да</t>
  </si>
  <si>
    <t>Вода (лужи, озера, ведра с водой)</t>
  </si>
  <si>
    <t>Мясо мелкой дичи жареное</t>
  </si>
  <si>
    <t>Помещение, автомобиль</t>
  </si>
  <si>
    <t>Мясо мелкой дичи сушеное</t>
  </si>
  <si>
    <t>Бить людей железной палкой</t>
  </si>
  <si>
    <t>Рыба малая сырая</t>
  </si>
  <si>
    <t>Рыба малая жареная</t>
  </si>
  <si>
    <t>Рыба малая сушеная</t>
  </si>
  <si>
    <t>Дикая кустовая ягода (бузина, шиповник)</t>
  </si>
  <si>
    <t>Ядовитая в 10% (20-50 отравления)</t>
  </si>
  <si>
    <t>Гриб мелкий</t>
  </si>
  <si>
    <t>Ядовитый в 20% (30-75 отравления)</t>
  </si>
  <si>
    <t>Гриб мелкий жареный</t>
  </si>
  <si>
    <t>Ядовитый в 20% (5-10 отравления)</t>
  </si>
  <si>
    <t>Гриб мелкий сушеный</t>
  </si>
  <si>
    <t>Ядовитый в 20% (10-15 отравления)</t>
  </si>
  <si>
    <t>Гриб средний</t>
  </si>
  <si>
    <t>Ядовитый в 20% (50-100 отравления)</t>
  </si>
  <si>
    <t>Гриб средний жареный</t>
  </si>
  <si>
    <t>Ядовитый в 20% (10-20 отравления)</t>
  </si>
  <si>
    <t>Гриб средний сушеный</t>
  </si>
  <si>
    <t>Ядовитый в 20% (25-50 отравления)</t>
  </si>
  <si>
    <t>Корешок съедобный</t>
  </si>
  <si>
    <t>Орех лесной</t>
  </si>
  <si>
    <t>Яйцо мелкое сырое</t>
  </si>
  <si>
    <t>Мой дом моя крепость</t>
  </si>
  <si>
    <t>Яйцо среднее сырое</t>
  </si>
  <si>
    <t>Дикое яблоко</t>
  </si>
  <si>
    <t>Дикое яблоко сушеное</t>
  </si>
  <si>
    <t>Дикая груша</t>
  </si>
  <si>
    <t>Дикая груша сушеная</t>
  </si>
  <si>
    <t>Дикий виноград</t>
  </si>
  <si>
    <t>Изюм</t>
  </si>
  <si>
    <t>Желуди</t>
  </si>
  <si>
    <t>Желуди жареные</t>
  </si>
  <si>
    <t>Каштаны</t>
  </si>
  <si>
    <t>Каштаны жареные</t>
  </si>
  <si>
    <t>Дикая слива</t>
  </si>
  <si>
    <t>Дикая слива сушеная</t>
  </si>
  <si>
    <t>Пресная чистая вода</t>
  </si>
  <si>
    <t>Устранение угрозы</t>
  </si>
  <si>
    <t>Ключевая вода</t>
  </si>
  <si>
    <t>ядовитая в 1% (1-5 отравления)</t>
  </si>
  <si>
    <t>Речная вода</t>
  </si>
  <si>
    <t>ядовитая в 5% (1-5 отравления)</t>
  </si>
  <si>
    <t>Вода дождевая чистая</t>
  </si>
  <si>
    <t>радиоативная в 5% (1-5 радиации)</t>
  </si>
  <si>
    <t>Вода дождевая грязная</t>
  </si>
  <si>
    <t>ядовитая в 5% (5-10 отравления)</t>
  </si>
  <si>
    <t>радиоативная в 10% (10-15 радиации)</t>
  </si>
  <si>
    <t>Вода в луже</t>
  </si>
  <si>
    <t>ядовитая в 10% (5-25 отравления)</t>
  </si>
  <si>
    <t>Вода озеро</t>
  </si>
  <si>
    <t>Вода болото</t>
  </si>
  <si>
    <t>ядовитая в 20% (10-50 отравления)</t>
  </si>
  <si>
    <t xml:space="preserve">Вода соленая </t>
  </si>
  <si>
    <t>ядовитая 100% (10-15 отравления)</t>
  </si>
  <si>
    <t>Подорожник</t>
  </si>
  <si>
    <t>рана</t>
  </si>
  <si>
    <t>20% к понижению уровня раны</t>
  </si>
  <si>
    <t>Крапива</t>
  </si>
  <si>
    <t>20% к понижению уровня кровотечения</t>
  </si>
  <si>
    <t>Ромашка</t>
  </si>
  <si>
    <t>Чеснок дикий</t>
  </si>
  <si>
    <t>Припарка из чеснока и глины</t>
  </si>
  <si>
    <t>- 20% к шансу воспаления раны</t>
  </si>
  <si>
    <t>Полынь</t>
  </si>
  <si>
    <t>Отвар полыни</t>
  </si>
  <si>
    <t>Кора ивы</t>
  </si>
  <si>
    <t>Отвар коры ивы</t>
  </si>
  <si>
    <t>Мы свой, мы новый мир построим</t>
  </si>
  <si>
    <t>Тысячелистник</t>
  </si>
  <si>
    <t>Припарка из тысячелистника и подорожника</t>
  </si>
  <si>
    <t>20% к шансу снятия воспаления</t>
  </si>
  <si>
    <t>Гриб чага</t>
  </si>
  <si>
    <t>- 10% к шансу воспаления всех ран</t>
  </si>
  <si>
    <t>Восстановление бодрости +50% на 1 час</t>
  </si>
  <si>
    <t>Отвар чаги</t>
  </si>
  <si>
    <t>- 20% к шансу воспаления всех ран</t>
  </si>
  <si>
    <t>Восстановление бодрости +100% на 2 часа</t>
  </si>
  <si>
    <t>Мухомор</t>
  </si>
  <si>
    <t>Мухомор сушеный</t>
  </si>
  <si>
    <t>Гриб поганка</t>
  </si>
  <si>
    <t>- 50% к шансу воспаления всех ран</t>
  </si>
  <si>
    <t>50% к шансу снятия воспаления</t>
  </si>
  <si>
    <t>50% к понижению уровня кровотечения</t>
  </si>
  <si>
    <t>Восстановление здоровья +100%</t>
  </si>
  <si>
    <t>Восстановления бодрости -75%</t>
  </si>
  <si>
    <t>Мох сфагнум</t>
  </si>
  <si>
    <t>30% к понижению уровня кровотечения</t>
  </si>
  <si>
    <t>25% к понижению уровня кровотечения</t>
  </si>
  <si>
    <t>Припарка из сфагнума и глины</t>
  </si>
  <si>
    <t>- 40% к шансу воспаления раны</t>
  </si>
  <si>
    <t>Снимает слабое кровотечение</t>
  </si>
  <si>
    <t>Таблица инструментов и оружия</t>
  </si>
  <si>
    <t>Грейд в эпохе (начало-середина-конец)</t>
  </si>
  <si>
    <t>Баз.DPS</t>
  </si>
  <si>
    <t>Время атаки</t>
  </si>
  <si>
    <t>Мод. шанса кровотечения</t>
  </si>
  <si>
    <t>Мод. болевого шока</t>
  </si>
  <si>
    <t>Дальность</t>
  </si>
  <si>
    <t>Дальность метания</t>
  </si>
  <si>
    <t>Тип траты бодрости</t>
  </si>
  <si>
    <t>Действие</t>
  </si>
  <si>
    <t>Время действия, сек</t>
  </si>
  <si>
    <t>Боеприпас</t>
  </si>
  <si>
    <t>Время перезарядки</t>
  </si>
  <si>
    <t>Шахты, заводы и склады</t>
  </si>
  <si>
    <t>Простая дубина</t>
  </si>
  <si>
    <t>слабая</t>
  </si>
  <si>
    <t>Дубина с каменными шипами</t>
  </si>
  <si>
    <t>среднее</t>
  </si>
  <si>
    <t>Двуручная дубина</t>
  </si>
  <si>
    <t>большой</t>
  </si>
  <si>
    <t>сильное</t>
  </si>
  <si>
    <t>Юбочка в клеточку</t>
  </si>
  <si>
    <t>Костяная дубина</t>
  </si>
  <si>
    <t>Двуручная дубина c каменными шипами</t>
  </si>
  <si>
    <t>Копье с заостренным наконечником</t>
  </si>
  <si>
    <t>Копье с костяным наконечником</t>
  </si>
  <si>
    <t>Копье с кремниевым  наконечником</t>
  </si>
  <si>
    <t>Креативный креатив</t>
  </si>
  <si>
    <t>Копье с обоженным наконечником</t>
  </si>
  <si>
    <t>Нож костяной</t>
  </si>
  <si>
    <t>Разделка животного</t>
  </si>
  <si>
    <t>Нож кремниевый</t>
  </si>
  <si>
    <t>Нож обсидиановый</t>
  </si>
  <si>
    <t>Нож из рога</t>
  </si>
  <si>
    <t>Исследование</t>
  </si>
  <si>
    <t>Топор из камня</t>
  </si>
  <si>
    <t>Топор из челюсти</t>
  </si>
  <si>
    <t>Кирка каменная</t>
  </si>
  <si>
    <t>Лук короткий примитивный</t>
  </si>
  <si>
    <t>Лук коротки из рога</t>
  </si>
  <si>
    <t>Страла с обоженным наконечником</t>
  </si>
  <si>
    <t>Страла с костяным наконечником</t>
  </si>
  <si>
    <t>Страла с кремниевым наконечником</t>
  </si>
  <si>
    <t>Меч из обсидиана</t>
  </si>
  <si>
    <t>Таблица построек</t>
  </si>
  <si>
    <t>Алгоритм расчета урона и последствий (после попадания) в ближнем бою</t>
  </si>
  <si>
    <t>Шанс крит урона</t>
  </si>
  <si>
    <t>Получение чистого урона от оружия (например дубина)</t>
  </si>
  <si>
    <t>Увеличение урона при крите</t>
  </si>
  <si>
    <t>Корректируем урон по прочности оружия (например он 4/5)</t>
  </si>
  <si>
    <t>Минимальный наносимый урон</t>
  </si>
  <si>
    <t>Корректируем по навыку персонажа (например 6)</t>
  </si>
  <si>
    <t>Персонаж цель теряет борость, равную урону с мод. за живучесть (например 3)</t>
  </si>
  <si>
    <t>Проверяем шанс критического урона (например он базовый)</t>
  </si>
  <si>
    <t>Умножаем на мод.крит урона если он был (например не было)</t>
  </si>
  <si>
    <t>Если был крит удар то игнорируем броню цели (например не было)</t>
  </si>
  <si>
    <t>Получаем чистую броню цели (например это шкурный доспех примитивной эпохи, броня 4)</t>
  </si>
  <si>
    <t>Корректируем броню по прочности (например доспех сильно изношен 2/10)</t>
  </si>
  <si>
    <t xml:space="preserve">Вычитаем из урона броню цели </t>
  </si>
  <si>
    <t>Если броня не пробита, то цель получает минимальный наносимый урон и алгоритм прерывается</t>
  </si>
  <si>
    <t>Если урона было больше чем брони, то проверяется шанс порчи брони (например он 20%)</t>
  </si>
  <si>
    <t>Если он сработал, то броня теряет 1 прочности</t>
  </si>
  <si>
    <t>Проверяется шанс порчи оружия (по дубине)</t>
  </si>
  <si>
    <t xml:space="preserve">Если он сработал, то оружие теряет 1 прочности </t>
  </si>
  <si>
    <t>Округляем урон вверх</t>
  </si>
  <si>
    <t>Персонаж цель получает урон по здоровью</t>
  </si>
  <si>
    <t>Получаем модификатор к шоку от оружия</t>
  </si>
  <si>
    <t>Персонаж цель получает шок с модификатором оружия и округлением вверх</t>
  </si>
  <si>
    <t>Проверяется шанс получения сильной раны</t>
  </si>
  <si>
    <t>Проверяется шанс получения средней раны (если не получена сильная)</t>
  </si>
  <si>
    <t>Проверяется шанс получения слабой раны (если не получена сильная или средняя)</t>
  </si>
  <si>
    <t>Например сработал шанс слабой раны - ее уровень 1</t>
  </si>
  <si>
    <t>Получаем модификатор к кровотечению от оружия</t>
  </si>
  <si>
    <t>Проверяется шанс получения сильного кровотечения</t>
  </si>
  <si>
    <t>Проверяется шанс получения среднего кровотечения (если не получено сильное)</t>
  </si>
  <si>
    <t>Проверяется шанс получения слабого кровотечения  (если не получено сильное или среднее)</t>
  </si>
  <si>
    <t>Проверяется шанс получения перелома</t>
  </si>
  <si>
    <t>---</t>
  </si>
  <si>
    <t>StatComment</t>
  </si>
  <si>
    <t>StatValue</t>
  </si>
  <si>
    <t>TemperatureOverheat</t>
  </si>
  <si>
    <t>Overhaet begins here, C</t>
  </si>
  <si>
    <t>25.000000</t>
  </si>
  <si>
    <t>TemperatureFreezing</t>
  </si>
  <si>
    <t>Freezing begins here, C</t>
  </si>
  <si>
    <t>10.000000</t>
  </si>
  <si>
    <t>StaminaRestoreSpeed</t>
  </si>
  <si>
    <t>Скорость восстановления выносливости в игровой час</t>
  </si>
  <si>
    <t>1000.000000</t>
  </si>
  <si>
    <t>HealthRestoreSpeed</t>
  </si>
  <si>
    <t>9.000000</t>
  </si>
  <si>
    <t>HungerDecaySpeed</t>
  </si>
  <si>
    <t>-2.000000</t>
  </si>
  <si>
    <t>ThirstDecaySpeed</t>
  </si>
  <si>
    <t>-2.100000</t>
  </si>
  <si>
    <t>SanityRestoreSpeed</t>
  </si>
  <si>
    <t>1.400000</t>
  </si>
  <si>
    <t>VigorRestoreSpeed</t>
  </si>
  <si>
    <t>50.000000</t>
  </si>
  <si>
    <t>ToxinsDecaySpeed</t>
  </si>
  <si>
    <t>-4.200000</t>
  </si>
  <si>
    <t>RadiationDecaySpeed</t>
  </si>
  <si>
    <t>-0.500000</t>
  </si>
  <si>
    <t>PainshockDecaySpeed</t>
  </si>
  <si>
    <t>-16.700000</t>
  </si>
  <si>
    <t>RegenerationStep_Positive</t>
  </si>
  <si>
    <t>Шаг ускорения восстановления, %</t>
  </si>
  <si>
    <t>0.100000</t>
  </si>
  <si>
    <t>RegenerationStep_Negative</t>
  </si>
  <si>
    <t>Шаг замедления восстановления, %</t>
  </si>
  <si>
    <t>-0.100000</t>
  </si>
  <si>
    <t>ExhaustionStep_Positive</t>
  </si>
  <si>
    <t>Шаг ускорения истощения, %</t>
  </si>
  <si>
    <t>ExhaustionStep_Negative</t>
  </si>
  <si>
    <t>Шаг замедления истощения, %</t>
  </si>
  <si>
    <t>RegenerationBonusMax</t>
  </si>
  <si>
    <t>Лимит макс восстановления, %</t>
  </si>
  <si>
    <t>2.000000</t>
  </si>
  <si>
    <t>RegenerationBonusMin</t>
  </si>
  <si>
    <t>Лимит мин восстановления , %</t>
  </si>
  <si>
    <t>ExhaustionBonusMax</t>
  </si>
  <si>
    <t>Лимит макс истощения, %</t>
  </si>
  <si>
    <t>ExhaustionBonusMin</t>
  </si>
  <si>
    <t>Лимит мин истощения, %</t>
  </si>
  <si>
    <t>MovementSpeedStep_Positive</t>
  </si>
  <si>
    <t>Шаг бонуса скорости движения, %</t>
  </si>
  <si>
    <t>0.050000</t>
  </si>
  <si>
    <t>MovementSpeedStep_Negative</t>
  </si>
  <si>
    <t>Шаг штрафа скорости движения, %</t>
  </si>
  <si>
    <t>-0.050000</t>
  </si>
  <si>
    <t>MovementSpeedBonusMax</t>
  </si>
  <si>
    <t>Лимит макс скорости движения, %</t>
  </si>
  <si>
    <t>1.500000</t>
  </si>
  <si>
    <t>MovementSpeedBonusMin</t>
  </si>
  <si>
    <t>Лимит мин скорости движения, %</t>
  </si>
  <si>
    <t>0.500000</t>
  </si>
  <si>
    <t>FreezingSpeed</t>
  </si>
  <si>
    <t>12.500000</t>
  </si>
  <si>
    <t>OverheatSpeed</t>
  </si>
  <si>
    <t>Скорость перегрева в игровой час</t>
  </si>
  <si>
    <t>HealthDecayStep</t>
  </si>
  <si>
    <t>HealthDecayMax</t>
  </si>
  <si>
    <t>-100.000000</t>
  </si>
  <si>
    <t>ActionSpeedBounsStep</t>
  </si>
  <si>
    <t>Шаг ускорения скорости действий</t>
  </si>
  <si>
    <t>ActionSpeedPenaltyStep</t>
  </si>
  <si>
    <t>Шаг замедления скорости действий</t>
  </si>
  <si>
    <t>ActionSpeedMin</t>
  </si>
  <si>
    <t>Лимит мин скорости действий</t>
  </si>
  <si>
    <t>ActionSpeedMax</t>
  </si>
  <si>
    <t>Лимит макс скорости действий</t>
  </si>
  <si>
    <t>HungerDecayStep</t>
  </si>
  <si>
    <t>Шаг истощения еды, %</t>
  </si>
  <si>
    <t>HungerDecayMax</t>
  </si>
  <si>
    <t>Лимит макс истощения еды, %</t>
  </si>
  <si>
    <t>ThirstDecayStep</t>
  </si>
  <si>
    <t>Шаг истощения воды, %</t>
  </si>
  <si>
    <t>ThirstDecayMax</t>
  </si>
  <si>
    <t>SanityDecaySpeed</t>
  </si>
  <si>
    <t>Скорость потери ментального состояния в игровой час, %</t>
  </si>
  <si>
    <t>SanityDecayMax</t>
  </si>
  <si>
    <t>Лимит макс истощения менталки, %</t>
  </si>
  <si>
    <t>SanityDecayStep</t>
  </si>
  <si>
    <t>Шаг истощения менталки, %</t>
  </si>
  <si>
    <t>ConstantComment</t>
  </si>
  <si>
    <t>Value</t>
  </si>
  <si>
    <t>TimeSecondsPerGameHour</t>
  </si>
  <si>
    <t>Скорость течения игрового часа, за сколько секунд проходит игровой час</t>
  </si>
  <si>
    <t>SurvTimerUpdSpeed</t>
  </si>
  <si>
    <t>0.5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</si>
</sst>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rgb="FFFFFFFF"/>
      <name val="Arial"/>
      <scheme val="minor"/>
    </font>
    <font/>
    <font>
      <sz val="11.0"/>
      <color theme="1"/>
      <name val="Arial"/>
    </font>
    <font>
      <sz val="10.0"/>
      <color rgb="FF434343"/>
      <name val="Arial"/>
    </font>
    <font>
      <color rgb="FF000000"/>
      <name val="Arial"/>
    </font>
    <font>
      <b/>
      <color theme="1"/>
      <name val="Arial"/>
      <scheme val="minor"/>
    </font>
    <font>
      <b/>
      <sz val="12.0"/>
      <color rgb="FFFFFFFF"/>
      <name val="Arial"/>
      <scheme val="minor"/>
    </font>
    <font>
      <sz val="12.0"/>
      <color rgb="FFFFFFFF"/>
      <name val="Arial"/>
      <scheme val="minor"/>
    </font>
    <font>
      <sz val="11.0"/>
      <color theme="1"/>
      <name val="Arial"/>
      <scheme val="minor"/>
    </font>
    <font>
      <b/>
      <sz val="11.0"/>
      <color rgb="FFFFFFFF"/>
      <name val="Arial"/>
      <scheme val="minor"/>
    </font>
    <font>
      <b/>
      <sz val="13.0"/>
      <color rgb="FFFFFFFF"/>
      <name val="Arial"/>
    </font>
    <font>
      <color theme="1"/>
      <name val="Arial"/>
    </font>
    <font>
      <color rgb="FFFFFFFF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C9DAF8"/>
        <bgColor rgb="FFC9DAF8"/>
      </patternFill>
    </fill>
    <fill>
      <patternFill patternType="solid">
        <fgColor rgb="FF4A86E8"/>
        <bgColor rgb="FF4A86E8"/>
      </patternFill>
    </fill>
    <fill>
      <patternFill patternType="solid">
        <fgColor rgb="FFD0E0E3"/>
        <bgColor rgb="FFD0E0E3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ill="1" applyFont="1">
      <alignment horizontal="center" readingOrder="0" shrinkToFit="0" vertical="center" wrapText="1"/>
    </xf>
    <xf borderId="4" fillId="0" fontId="1" numFmtId="0" xfId="0" applyAlignment="1" applyBorder="1" applyFont="1">
      <alignment readingOrder="0" shrinkToFit="0" wrapText="1"/>
    </xf>
    <xf borderId="4" fillId="0" fontId="1" numFmtId="9" xfId="0" applyAlignment="1" applyBorder="1" applyFont="1" applyNumberFormat="1">
      <alignment readingOrder="0" shrinkToFit="0" wrapText="1"/>
    </xf>
    <xf borderId="4" fillId="3" fontId="1" numFmtId="0" xfId="0" applyAlignment="1" applyBorder="1" applyFill="1" applyFont="1">
      <alignment readingOrder="0" shrinkToFit="0" wrapText="1"/>
    </xf>
    <xf borderId="4" fillId="4" fontId="2" numFmtId="0" xfId="0" applyAlignment="1" applyBorder="1" applyFill="1" applyFont="1">
      <alignment readingOrder="0" shrinkToFit="0" wrapText="1"/>
    </xf>
    <xf borderId="4" fillId="5" fontId="1" numFmtId="0" xfId="0" applyAlignment="1" applyBorder="1" applyFill="1" applyFont="1">
      <alignment readingOrder="0" shrinkToFit="0" wrapText="1"/>
    </xf>
    <xf borderId="4" fillId="6" fontId="2" numFmtId="0" xfId="0" applyAlignment="1" applyBorder="1" applyFill="1" applyFont="1">
      <alignment horizontal="center" readingOrder="0" shrinkToFit="0" vertical="center" wrapText="1"/>
    </xf>
    <xf borderId="4" fillId="7" fontId="1" numFmtId="0" xfId="0" applyAlignment="1" applyBorder="1" applyFill="1" applyFont="1">
      <alignment shrinkToFit="0" wrapText="1"/>
    </xf>
    <xf borderId="4" fillId="8" fontId="1" numFmtId="0" xfId="0" applyAlignment="1" applyBorder="1" applyFill="1" applyFont="1">
      <alignment readingOrder="0" shrinkToFit="0" wrapText="1"/>
    </xf>
    <xf borderId="4" fillId="9" fontId="1" numFmtId="0" xfId="0" applyAlignment="1" applyBorder="1" applyFill="1" applyFont="1">
      <alignment readingOrder="0" shrinkToFit="0" wrapText="1"/>
    </xf>
    <xf borderId="4" fillId="10" fontId="1" numFmtId="0" xfId="0" applyAlignment="1" applyBorder="1" applyFill="1" applyFont="1">
      <alignment readingOrder="0" shrinkToFit="0" wrapText="1"/>
    </xf>
    <xf borderId="4" fillId="2" fontId="2" numFmtId="0" xfId="0" applyAlignment="1" applyBorder="1" applyFill="1" applyFont="1">
      <alignment horizontal="center" readingOrder="0" vertical="center"/>
    </xf>
    <xf borderId="4" fillId="11" fontId="1" numFmtId="0" xfId="0" applyAlignment="1" applyBorder="1" applyFill="1" applyFont="1">
      <alignment readingOrder="0" shrinkToFit="0" wrapText="1"/>
    </xf>
    <xf borderId="4" fillId="0" fontId="1" numFmtId="0" xfId="0" applyAlignment="1" applyBorder="1" applyFont="1">
      <alignment shrinkToFit="0" wrapText="1"/>
    </xf>
    <xf borderId="4" fillId="2" fontId="2" numFmtId="0" xfId="0" applyAlignment="1" applyBorder="1" applyFill="1" applyFont="1">
      <alignment horizontal="center" vertical="center"/>
    </xf>
    <xf borderId="4" fillId="0" fontId="1" numFmtId="164" xfId="0" applyAlignment="1" applyBorder="1" applyFont="1" applyNumberFormat="1">
      <alignment shrinkToFit="0" wrapText="1"/>
    </xf>
    <xf borderId="0" fillId="0" fontId="1" numFmtId="0" xfId="0" applyAlignment="1" applyFont="1">
      <alignment horizontal="left" readingOrder="0" shrinkToFit="0" vertical="center" wrapText="0"/>
    </xf>
    <xf borderId="4" fillId="7" fontId="1" numFmtId="0" xfId="0" applyAlignment="1" applyBorder="1" applyFill="1" applyFont="1">
      <alignment readingOrder="0" shrinkToFit="0" wrapText="1"/>
    </xf>
    <xf borderId="0" fillId="0" fontId="1" numFmtId="0" xfId="0" applyAlignment="1" applyFont="1">
      <alignment horizontal="left" readingOrder="0" shrinkToFit="0" vertical="top" wrapText="1"/>
    </xf>
    <xf borderId="4" fillId="8" fontId="1" numFmtId="0" xfId="0" applyAlignment="1" applyBorder="1" applyFill="1" applyFont="1">
      <alignment shrinkToFit="0" wrapText="1"/>
    </xf>
    <xf borderId="0" fillId="0" fontId="4" numFmtId="0" xfId="0" applyAlignment="1" applyFont="1">
      <alignment horizontal="left" readingOrder="0" shrinkToFit="0" vertical="center" wrapText="1"/>
    </xf>
    <xf borderId="4" fillId="0" fontId="1" numFmtId="4" xfId="0" applyAlignment="1" applyBorder="1" applyFont="1" applyNumberFormat="1">
      <alignment readingOrder="0" shrinkToFit="0" wrapText="1"/>
    </xf>
    <xf borderId="4" fillId="0" fontId="1" numFmtId="0" xfId="0" applyBorder="1" applyFont="1"/>
    <xf borderId="4" fillId="0" fontId="5" numFmtId="0" xfId="0" applyAlignment="1" applyBorder="1" applyFont="1">
      <alignment readingOrder="0" shrinkToFit="0" vertical="center" wrapText="0"/>
    </xf>
    <xf borderId="4" fillId="0" fontId="6" numFmtId="0" xfId="0" applyAlignment="1" applyBorder="1" applyFont="1">
      <alignment horizontal="left" readingOrder="0" shrinkToFit="0" vertical="center" wrapText="1"/>
    </xf>
    <xf borderId="4" fillId="5" fontId="1" numFmtId="0" xfId="0" applyAlignment="1" applyBorder="1" applyFill="1" applyFont="1">
      <alignment shrinkToFit="0" wrapText="1"/>
    </xf>
    <xf borderId="4" fillId="3" fontId="1" numFmtId="0" xfId="0" applyAlignment="1" applyBorder="1" applyFill="1" applyFont="1">
      <alignment shrinkToFit="0" wrapText="1"/>
    </xf>
    <xf borderId="1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vertical="center"/>
    </xf>
    <xf borderId="4" fillId="0" fontId="1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 shrinkToFit="0" wrapText="1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1" numFmtId="0" xfId="0" applyAlignment="1" applyFont="1">
      <alignment readingOrder="0" shrinkToFit="0" wrapText="1"/>
    </xf>
    <xf borderId="4" fillId="0" fontId="6" numFmtId="0" xfId="0" applyAlignment="1" applyBorder="1" applyFont="1">
      <alignment horizontal="left" readingOrder="0" shrinkToFit="0" vertical="center" wrapText="1"/>
    </xf>
    <xf borderId="1" fillId="12" fontId="8" numFmtId="0" xfId="0" applyAlignment="1" applyBorder="1" applyFill="1" applyFont="1">
      <alignment readingOrder="0"/>
    </xf>
    <xf borderId="4" fillId="12" fontId="9" numFmtId="0" xfId="0" applyAlignment="1" applyBorder="1" applyFill="1" applyFont="1">
      <alignment readingOrder="0"/>
    </xf>
    <xf borderId="4" fillId="0" fontId="5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4" fillId="0" fontId="1" numFmtId="9" xfId="0" applyAlignment="1" applyBorder="1" applyFont="1" applyNumberFormat="1">
      <alignment readingOrder="0"/>
    </xf>
    <xf borderId="9" fillId="0" fontId="1" numFmtId="0" xfId="0" applyAlignment="1" applyBorder="1" applyFont="1">
      <alignment readingOrder="0"/>
    </xf>
    <xf borderId="4" fillId="13" fontId="1" numFmtId="0" xfId="0" applyAlignment="1" applyBorder="1" applyFill="1" applyFont="1">
      <alignment readingOrder="0" shrinkToFit="0" wrapText="1"/>
    </xf>
    <xf borderId="9" fillId="0" fontId="3" numFmtId="0" xfId="0" applyBorder="1" applyFont="1"/>
    <xf borderId="10" fillId="0" fontId="3" numFmtId="0" xfId="0" applyBorder="1" applyFont="1"/>
    <xf borderId="4" fillId="13" fontId="1" numFmtId="0" xfId="0" applyAlignment="1" applyBorder="1" applyFill="1" applyFont="1">
      <alignment readingOrder="0"/>
    </xf>
    <xf borderId="0" fillId="7" fontId="1" numFmtId="0" xfId="0" applyAlignment="1" applyFill="1" applyFont="1">
      <alignment shrinkToFit="0" wrapText="1"/>
    </xf>
    <xf borderId="1" fillId="4" fontId="2" numFmtId="0" xfId="0" applyAlignment="1" applyBorder="1" applyFill="1" applyFont="1">
      <alignment horizontal="center" readingOrder="0" shrinkToFit="0" wrapText="1"/>
    </xf>
    <xf borderId="0" fillId="0" fontId="10" numFmtId="0" xfId="0" applyFont="1"/>
    <xf borderId="0" fillId="0" fontId="1" numFmtId="0" xfId="0" applyAlignment="1" applyFont="1">
      <alignment horizontal="right" readingOrder="0" shrinkToFit="0" wrapText="1"/>
    </xf>
    <xf borderId="4" fillId="4" fontId="11" numFmtId="0" xfId="0" applyAlignment="1" applyBorder="1" applyFill="1" applyFont="1">
      <alignment readingOrder="0" shrinkToFit="0" wrapText="1"/>
    </xf>
    <xf borderId="1" fillId="7" fontId="1" numFmtId="0" xfId="0" applyAlignment="1" applyBorder="1" applyFill="1" applyFont="1">
      <alignment readingOrder="0" shrinkToFit="0" wrapText="1"/>
    </xf>
    <xf borderId="0" fillId="7" fontId="1" numFmtId="0" xfId="0" applyAlignment="1" applyFill="1" applyFont="1">
      <alignment readingOrder="0" shrinkToFit="0" wrapText="1"/>
    </xf>
    <xf borderId="4" fillId="0" fontId="1" numFmtId="10" xfId="0" applyAlignment="1" applyBorder="1" applyFont="1" applyNumberFormat="1">
      <alignment readingOrder="0" shrinkToFit="0" wrapText="1"/>
    </xf>
    <xf borderId="1" fillId="4" fontId="11" numFmtId="0" xfId="0" applyAlignment="1" applyBorder="1" applyFill="1" applyFont="1">
      <alignment horizontal="center" readingOrder="0" shrinkToFit="0" vertical="center" wrapText="1"/>
    </xf>
    <xf borderId="0" fillId="0" fontId="10" numFmtId="0" xfId="0" applyAlignment="1" applyFont="1">
      <alignment shrinkToFit="0" wrapText="1"/>
    </xf>
    <xf borderId="4" fillId="0" fontId="10" numFmtId="0" xfId="0" applyAlignment="1" applyBorder="1" applyFont="1">
      <alignment readingOrder="0"/>
    </xf>
    <xf borderId="4" fillId="14" fontId="1" numFmtId="0" xfId="0" applyAlignment="1" applyBorder="1" applyFill="1" applyFont="1">
      <alignment readingOrder="0" shrinkToFit="0" wrapText="1"/>
    </xf>
    <xf borderId="4" fillId="15" fontId="1" numFmtId="0" xfId="0" applyAlignment="1" applyBorder="1" applyFill="1" applyFont="1">
      <alignment readingOrder="0" shrinkToFit="0" wrapText="1"/>
    </xf>
    <xf borderId="4" fillId="0" fontId="1" numFmtId="10" xfId="0" applyAlignment="1" applyBorder="1" applyFont="1" applyNumberFormat="1">
      <alignment readingOrder="0"/>
    </xf>
    <xf borderId="4" fillId="0" fontId="1" numFmtId="10" xfId="0" applyBorder="1" applyFont="1" applyNumberFormat="1"/>
    <xf borderId="1" fillId="4" fontId="12" numFmtId="0" xfId="0" applyAlignment="1" applyBorder="1" applyFill="1" applyFont="1">
      <alignment horizontal="center" readingOrder="0" shrinkToFit="0" vertical="bottom" wrapText="1"/>
    </xf>
    <xf borderId="4" fillId="4" fontId="12" numFmtId="0" xfId="0" applyAlignment="1" applyBorder="1" applyFill="1" applyFont="1">
      <alignment shrinkToFit="0" vertical="bottom" wrapText="1"/>
    </xf>
    <xf borderId="4" fillId="4" fontId="13" numFmtId="0" xfId="0" applyAlignment="1" applyBorder="1" applyFill="1" applyFont="1">
      <alignment vertical="bottom"/>
    </xf>
    <xf borderId="1" fillId="4" fontId="12" numFmtId="0" xfId="0" applyAlignment="1" applyBorder="1" applyFill="1" applyFont="1">
      <alignment horizontal="center" shrinkToFit="0" wrapText="1"/>
    </xf>
    <xf borderId="4" fillId="0" fontId="13" numFmtId="0" xfId="0" applyAlignment="1" applyBorder="1" applyFont="1">
      <alignment vertical="bottom"/>
    </xf>
    <xf borderId="0" fillId="12" fontId="14" numFmtId="0" xfId="0" applyAlignment="1" applyFill="1" applyFont="1">
      <alignment readingOrder="0"/>
    </xf>
    <xf borderId="4" fillId="13" fontId="1" numFmtId="9" xfId="0" applyBorder="1" applyFill="1" applyFont="1" applyNumberFormat="1"/>
    <xf borderId="4" fillId="13" fontId="1" numFmtId="0" xfId="0" applyBorder="1" applyFill="1" applyFont="1"/>
    <xf borderId="4" fillId="16" fontId="1" numFmtId="0" xfId="0" applyAlignment="1" applyBorder="1" applyFill="1" applyFont="1">
      <alignment readingOrder="0"/>
    </xf>
    <xf borderId="4" fillId="16" fontId="1" numFmtId="0" xfId="0" applyBorder="1" applyFill="1" applyFont="1"/>
    <xf borderId="0" fillId="0" fontId="1" numFmtId="9" xfId="0" applyAlignment="1" applyFont="1" applyNumberFormat="1">
      <alignment readingOrder="0"/>
    </xf>
    <xf borderId="0" fillId="17" fontId="13" numFmtId="0" xfId="0" applyAlignment="1" applyFill="1" applyFont="1">
      <alignment readingOrder="0" vertical="bottom"/>
    </xf>
    <xf borderId="0" fillId="17" fontId="1" numFmtId="0" xfId="0" applyFill="1" applyFont="1"/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horizontal="left" readingOrder="0" vertical="bottom"/>
    </xf>
    <xf borderId="0" fillId="18" fontId="13" numFmtId="0" xfId="0" applyAlignment="1" applyFill="1" applyFont="1">
      <alignment vertical="bottom"/>
    </xf>
    <xf borderId="0" fillId="18" fontId="1" numFmtId="0" xfId="0" applyFill="1" applyFont="1"/>
    <xf borderId="0" fillId="0" fontId="13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Оценка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eksandr Malyavko" id="{bcffa10c-a6ff-4025-acdb-66dbddb58e22}" providerId="google-sheets"/>
  <x18tc:person displayName="Дмитрий Емельянов" id="{009b66b8-dd8c-403f-b598-8e6488790c5b}" providerId="google-sheets"/>
</x18tc:personList>
</file>

<file path=xl/tables/table1.xml><?xml version="1.0" encoding="utf-8"?>
<table xmlns="http://schemas.openxmlformats.org/spreadsheetml/2006/main" ref="A3:F99" displayName="Таблица1" name="Таблица1" id="1">
  <autoFilter ref="$A$3:$F$99"/>
  <tableColumns count="6">
    <tableColumn name="Столбец 1" id="1"/>
    <tableColumn name="Игра" id="2"/>
    <tableColumn name="FTUE" id="3"/>
    <tableColumn name="начало" id="4"/>
    <tableColumn name="середина" id="5"/>
    <tableColumn name="конец" id="6"/>
  </tableColumns>
  <tableStyleInfo name="Оценка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65" dT="2025-04-29T19:00:11.00" personId="{009b66b8-dd8c-403f-b598-8e6488790c5b}" id="{6b83d017-adbe-47c0-8812-0323b1d74033}" done="1">
    <x18tc:text xml:space="preserve">Если состояние изменилось - как снимается перегрев или переохлаждение? С каким шагом?</x18tc:text>
  </x18tc:threadedComment>
  <x18tc:threadedComment ref="D65" dT="2025-05-01T11:23:40.00" personId="{bcffa10c-a6ff-4025-acdb-66dbddb58e22}" id="{736b4544-8f64-4e6d-88f4-d7fd55fc1b0a}" parentId="{6b83d017-adbe-47c0-8812-0323b1d74033}">
    <x18tc:text xml:space="preserve">а вот это интересны вопрос, нужно подумать
пока предложу инвертировать скорость для того остояния, из которого вышли</x18tc:text>
  </x18tc:threadedComment>
  <x18tc:threadedComment ref="M29" dT="2025-04-24T06:56:32.00" personId="{009b66b8-dd8c-403f-b598-8e6488790c5b}" id="{9e047291-a5fa-48a6-b5d9-312cc239637d}" done="1">
    <x18tc:text xml:space="preserve">Забыли добавить. Это "дыхалка" - тратится на бег, удары и прыжки</x18tc:text>
  </x18tc:threadedComment>
  <x18tc:threadedComment ref="M29" dT="2025-04-24T08:11:11.00" personId="{bcffa10c-a6ff-4025-acdb-66dbddb58e22}" id="{2619d9fe-7e1d-4f87-a90a-c45a78dfe495}" parentId="{9e047291-a5fa-48a6-b5d9-312cc239637d}">
    <x18tc:text xml:space="preserve">это уже есть - бодрость</x18tc:text>
  </x18tc:threadedComment>
  <x18tc:threadedComment ref="M70" dT="2025-05-13T17:28:33.00" personId="{009b66b8-dd8c-403f-b598-8e6488790c5b}" id="{391fa472-127f-4bfd-93ee-7a02c15cc190}" done="0">
    <x18tc:text xml:space="preserve">Проверяем от самого страшного, иначе легкое кровотечение будет всегда срабатывать при сильном раненни</x18tc:text>
  </x18tc:threadedComment>
  <x18tc:threadedComment ref="M70" dT="2025-05-13T17:30:59.00" personId="{009b66b8-dd8c-403f-b598-8e6488790c5b}" id="{7ef2a65b-3f7b-4aca-a9a1-fcf4d3f01a3e}" parentId="{391fa472-127f-4bfd-93ee-7a02c15cc190}">
    <x18tc:text xml:space="preserve">Все раны и кровотечения могут стакаться.</x18tc:text>
  </x18tc:threadedComment>
  <x18tc:threadedComment ref="F67" dT="2025-04-29T18:51:11.00" personId="{009b66b8-dd8c-403f-b598-8e6488790c5b}" id="{dcbbd496-363c-4a63-b1bf-aaea1174c5c6}" done="1">
    <x18tc:text xml:space="preserve">Тут точно термоизоляция? Не термовыделение?</x18tc:text>
  </x18tc:threadedComment>
  <x18tc:threadedComment ref="F67" dT="2025-05-01T11:24:53.00" personId="{bcffa10c-a6ff-4025-acdb-66dbddb58e22}" id="{21d48f5e-c517-4948-9a73-1798cdbe40c5}" parentId="{dcbbd496-363c-4a63-b1bf-aaea1174c5c6}">
    <x18tc:text xml:space="preserve">ты прав, поправил</x18tc:text>
  </x18tc:threadedComment>
  <x18tc:threadedComment ref="O26" dT="2025-04-29T18:54:54.00" personId="{009b66b8-dd8c-403f-b598-8e6488790c5b}" id="{5ade1418-c97d-4e68-beb7-1e892bae4606}" done="1">
    <x18tc:text xml:space="preserve">Влияет ли на эту скорость ещё и модификатор истощения?</x18tc:text>
  </x18tc:threadedComment>
  <x18tc:threadedComment ref="O26" dT="2025-05-01T18:19:24.00" personId="{009b66b8-dd8c-403f-b598-8e6488790c5b}" id="{f1a70337-7e1b-4414-b129-b0b1f3f9121c}" parentId="{5ade1418-c97d-4e68-beb7-1e892bae4606}">
    <x18tc:text xml:space="preserve">Не влияет</x18tc:text>
  </x18tc:threadedComment>
  <x18tc:threadedComment ref="M8" dT="2025-04-17T15:17:20.00" personId="{009b66b8-dd8c-403f-b598-8e6488790c5b}" id="{229a522c-e0b8-4430-a442-07a36b65ca9b}" done="1">
    <x18tc:text xml:space="preserve">Скорость ПАДЕНИЯ в движке</x18tc:text>
  </x18tc:threadedComment>
  <x18tc:threadedComment ref="M8" dT="2025-04-24T08:22:27.00" personId="{bcffa10c-a6ff-4025-acdb-66dbddb58e22}" id="{fc029c89-85bc-464c-afb0-32a9df96527c}" parentId="{229a522c-e0b8-4430-a442-07a36b65ca9b}">
    <x18tc:text xml:space="preserve">нинада
у нас это не усталость а именно бодрость - постоянный параметр, который именно падает от действий</x18tc:text>
  </x18tc:threadedComment>
  <x18tc:threadedComment ref="M11" dT="2025-04-17T15:22:04.00" personId="{009b66b8-dd8c-403f-b598-8e6488790c5b}" id="{44f2beba-fa64-4077-83d3-e7d3cad3af34}" done="1">
    <x18tc:text xml:space="preserve">Вроде отказались от статы</x18tc:text>
  </x18tc:threadedComment>
  <x18tc:threadedComment ref="M68" dT="2025-05-11T16:07:43.00" personId="{009b66b8-dd8c-403f-b598-8e6488790c5b}" id="{efe37041-1953-474e-a983-9b94ed29c35f}" done="0">
    <x18tc:text xml:space="preserve">Что есть уровень раны?</x18tc:text>
  </x18tc:threadedComment>
  <x18tc:threadedComment ref="C53" dT="2025-04-29T17:36:31.00" personId="{009b66b8-dd8c-403f-b598-8e6488790c5b}" id="{82529c91-fdb0-462d-bb10-7f3611feca63}" done="0">
    <x18tc:text xml:space="preserve">Это среднее по всей одежде, или сумма?</x18tc:text>
  </x18tc:threadedComment>
  <x18tc:threadedComment ref="C53" dT="2025-05-01T11:22:05.00" personId="{bcffa10c-a6ff-4025-acdb-66dbddb58e22}" id="{d936dbf5-3014-48ee-a19a-225a4ec73375}" parentId="{82529c91-fdb0-462d-bb10-7f3611feca63}">
    <x18tc:text xml:space="preserve">а это сумма</x18tc:text>
  </x18tc:threadedComment>
  <x18tc:threadedComment ref="M50" dT="2025-04-29T16:49:24.00" personId="{009b66b8-dd8c-403f-b598-8e6488790c5b}" id="{3c1d5cad-9fb2-4694-96c8-7c38ab258ea9}" done="1">
    <x18tc:text xml:space="preserve">Сколько тепла излучает персонаж игрока для других игроков, в зависимости от своей температуры. Или на себя всё-таки тоже действует?</x18tc:text>
  </x18tc:threadedComment>
  <x18tc:threadedComment ref="C28" dT="2025-04-17T15:20:20.00" personId="{009b66b8-dd8c-403f-b598-8e6488790c5b}" id="{5e4ec19d-097e-436b-9c9a-b558f7cc6e5d}" done="1">
    <x18tc:text xml:space="preserve">Вроде отказались от болезненности как отдельной статы</x18tc:text>
  </x18tc:threadedComment>
  <x18tc:threadedComment ref="D43" dT="2025-04-29T17:11:53.00" personId="{009b66b8-dd8c-403f-b598-8e6488790c5b}" id="{bb0d445a-f32d-49af-8920-ee0166a46169}" done="1">
    <x18tc:text xml:space="preserve">Сумма, или всё-таки среднее значение?</x18tc:text>
  </x18tc:threadedComment>
  <x18tc:threadedComment ref="D43" dT="2025-05-01T11:21:39.00" personId="{bcffa10c-a6ff-4025-acdb-66dbddb58e22}" id="{bf97ac48-5855-46be-8e7d-a385c73d87d4}" parentId="{bb0d445a-f32d-49af-8920-ee0166a46169}">
    <x18tc:text xml:space="preserve">среднее</x18tc:text>
  </x18tc:threadedComment>
  <x18tc:threadedComment ref="D13" dT="2025-04-25T15:21:20.00" personId="{009b66b8-dd8c-403f-b598-8e6488790c5b}" id="{b832274d-46b1-41d0-a73a-51e528616727}" done="1">
    <x18tc:text xml:space="preserve">Разум - это видимо Ментальное состояние. А психика?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16" dT="2025-05-10T16:27:27.00" personId="{009b66b8-dd8c-403f-b598-8e6488790c5b}" id="{05ee47cb-fdf2-48e7-b95f-f30c09b8d67c}" done="0">
    <x18tc:text xml:space="preserve">Еда пропадает с шансом порчи раз в тик (раз в сутки). Если это консерва - она не портится пока игрок её не откроет.</x18tc:text>
  </x18tc:threadedComment>
  <x18tc:threadedComment ref="T76" dT="2025-05-10T16:35:26.00" personId="{009b66b8-dd8c-403f-b598-8e6488790c5b}" id="{301fb685-1c40-4d52-8a85-2c1eec207e79}" done="0">
    <x18tc:text xml:space="preserve">Стрелковое - влияет на шанс осечки, ближнее -на урон</x18tc:text>
  </x18tc:threadedComment>
  <x18tc:threadedComment ref="E76" dT="2025-05-10T16:36:42.00" personId="{009b66b8-dd8c-403f-b598-8e6488790c5b}" id="{96bee041-78dc-4490-8e11-4c35f1345b75}" done="0">
    <x18tc:text xml:space="preserve">Влияет на то можно ли взять в любой слот кармана, или только в большие слоты</x18tc:text>
  </x18tc:threadedComment>
  <x18tc:threadedComment ref="U76" dT="2025-05-10T16:49:45.00" personId="{009b66b8-dd8c-403f-b598-8e6488790c5b}" id="{89de4564-f456-45ac-9e2c-7a8a927a6af2}" done="0">
    <x18tc:text xml:space="preserve">Шанс траты прочности. У одноразовых предметов - прочность 1.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7" dT="2025-06-16T13:33:06.00" personId="{009b66b8-dd8c-403f-b598-8e6488790c5b}" id="{b57a3b2f-3828-43e1-8394-3592c08a8458}" done="0">
    <x18tc:text xml:space="preserve">Отказались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3" max="3" width="14.38"/>
    <col customWidth="1" min="4" max="4" width="15.5"/>
    <col customWidth="1" min="5" max="5" width="15.25"/>
    <col customWidth="1" min="6" max="6" width="15.38"/>
    <col customWidth="1" min="10" max="10" width="29.13"/>
    <col customWidth="1" min="11" max="11" width="20.13"/>
  </cols>
  <sheetData>
    <row r="2">
      <c r="J2" s="16" t="s">
        <v>40</v>
      </c>
      <c r="K2" s="16" t="s">
        <v>43</v>
      </c>
      <c r="L2" s="19" t="str">
        <f t="shared" ref="L2:O2" si="1">C3</f>
        <v>FTUE</v>
      </c>
      <c r="M2" s="19" t="str">
        <f t="shared" si="1"/>
        <v>начало</v>
      </c>
      <c r="N2" s="19" t="str">
        <f t="shared" si="1"/>
        <v>середина</v>
      </c>
      <c r="O2" s="19" t="str">
        <f t="shared" si="1"/>
        <v>конец</v>
      </c>
    </row>
    <row r="3" ht="22.5" customHeight="1">
      <c r="A3" s="21" t="s">
        <v>47</v>
      </c>
      <c r="B3" s="23" t="s">
        <v>48</v>
      </c>
      <c r="C3" s="25" t="s">
        <v>52</v>
      </c>
      <c r="D3" s="25" t="s">
        <v>55</v>
      </c>
      <c r="E3" s="25" t="s">
        <v>58</v>
      </c>
      <c r="F3" s="25" t="s">
        <v>59</v>
      </c>
      <c r="J3" s="27" t="str">
        <f t="shared" ref="J3:O3" si="2">A8</f>
        <v>Выжить любой ценой</v>
      </c>
      <c r="K3" s="27" t="str">
        <f t="shared" si="2"/>
        <v>Valheim</v>
      </c>
      <c r="L3" s="27" t="str">
        <f t="shared" si="2"/>
        <v>Минимальная</v>
      </c>
      <c r="M3" s="27" t="str">
        <f t="shared" si="2"/>
        <v>Средняя</v>
      </c>
      <c r="N3" s="27" t="str">
        <f t="shared" si="2"/>
        <v>Высокая</v>
      </c>
      <c r="O3" s="27" t="str">
        <f t="shared" si="2"/>
        <v>Высокая</v>
      </c>
    </row>
    <row r="4" ht="22.5" customHeight="1">
      <c r="A4" s="28" t="s">
        <v>67</v>
      </c>
      <c r="B4" s="29" t="s">
        <v>68</v>
      </c>
      <c r="C4" s="29" t="s">
        <v>75</v>
      </c>
      <c r="D4" s="29" t="s">
        <v>79</v>
      </c>
      <c r="E4" s="29" t="s">
        <v>80</v>
      </c>
      <c r="F4" s="29" t="s">
        <v>80</v>
      </c>
      <c r="J4" s="27" t="str">
        <f t="shared" ref="J4:O4" si="3">A12</f>
        <v>Хлеб насущный</v>
      </c>
      <c r="K4" s="27" t="str">
        <f t="shared" si="3"/>
        <v>Project Zomboid</v>
      </c>
      <c r="L4" s="27" t="str">
        <f t="shared" si="3"/>
        <v>Низкая</v>
      </c>
      <c r="M4" s="27" t="str">
        <f t="shared" si="3"/>
        <v>Средняя</v>
      </c>
      <c r="N4" s="27" t="str">
        <f t="shared" si="3"/>
        <v>Низкая</v>
      </c>
      <c r="O4" s="27" t="str">
        <f t="shared" si="3"/>
        <v>Низкая</v>
      </c>
    </row>
    <row r="5" ht="22.5" customHeight="1">
      <c r="A5" s="28" t="s">
        <v>67</v>
      </c>
      <c r="B5" s="29" t="s">
        <v>87</v>
      </c>
      <c r="C5" s="29" t="s">
        <v>88</v>
      </c>
      <c r="D5" s="29" t="s">
        <v>88</v>
      </c>
      <c r="E5" s="29" t="s">
        <v>88</v>
      </c>
      <c r="F5" s="29" t="s">
        <v>88</v>
      </c>
      <c r="J5" s="27" t="str">
        <f t="shared" ref="J5:K5" si="4">A16</f>
        <v>Дом милый дом</v>
      </c>
      <c r="K5" s="27" t="str">
        <f t="shared" si="4"/>
        <v>Miscreated</v>
      </c>
      <c r="L5" s="27" t="str">
        <f t="shared" ref="L5:O5" si="5">C19</f>
        <v>Максимальная</v>
      </c>
      <c r="M5" s="27" t="str">
        <f t="shared" si="5"/>
        <v>Максимальная</v>
      </c>
      <c r="N5" s="27" t="str">
        <f t="shared" si="5"/>
        <v>Максимальная</v>
      </c>
      <c r="O5" s="27" t="str">
        <f t="shared" si="5"/>
        <v>Средняя</v>
      </c>
    </row>
    <row r="6" ht="22.5" customHeight="1">
      <c r="A6" s="28" t="s">
        <v>67</v>
      </c>
      <c r="B6" s="29" t="s">
        <v>100</v>
      </c>
      <c r="C6" s="29" t="s">
        <v>79</v>
      </c>
      <c r="D6" s="29" t="s">
        <v>75</v>
      </c>
      <c r="E6" s="29" t="s">
        <v>103</v>
      </c>
      <c r="F6" s="29" t="s">
        <v>103</v>
      </c>
      <c r="J6" s="27" t="str">
        <f t="shared" ref="J6:O6" si="6">A22</f>
        <v>Страшна, выключай!</v>
      </c>
      <c r="K6" s="27" t="str">
        <f t="shared" si="6"/>
        <v>Miscreated</v>
      </c>
      <c r="L6" s="27" t="str">
        <f t="shared" si="6"/>
        <v>Максимальная</v>
      </c>
      <c r="M6" s="27" t="str">
        <f t="shared" si="6"/>
        <v>Максимальная</v>
      </c>
      <c r="N6" s="27" t="str">
        <f t="shared" si="6"/>
        <v>Высокая</v>
      </c>
      <c r="O6" s="27" t="str">
        <f t="shared" si="6"/>
        <v>Высокая</v>
      </c>
    </row>
    <row r="7" ht="22.5" customHeight="1">
      <c r="A7" s="28" t="s">
        <v>67</v>
      </c>
      <c r="B7" s="29" t="s">
        <v>117</v>
      </c>
      <c r="C7" s="29" t="s">
        <v>79</v>
      </c>
      <c r="D7" s="29" t="s">
        <v>80</v>
      </c>
      <c r="E7" s="29" t="s">
        <v>121</v>
      </c>
      <c r="F7" s="29" t="s">
        <v>121</v>
      </c>
      <c r="J7" s="27" t="str">
        <f t="shared" ref="J7:O7" si="7">A30</f>
        <v>Очень нужный человек</v>
      </c>
      <c r="K7" s="27" t="str">
        <f t="shared" si="7"/>
        <v>Project Zomboid</v>
      </c>
      <c r="L7" s="27" t="str">
        <f t="shared" si="7"/>
        <v>Низкая</v>
      </c>
      <c r="M7" s="27" t="str">
        <f t="shared" si="7"/>
        <v>Средняя</v>
      </c>
      <c r="N7" s="27" t="str">
        <f t="shared" si="7"/>
        <v>Высокая</v>
      </c>
      <c r="O7" s="27" t="str">
        <f t="shared" si="7"/>
        <v>Максимальная</v>
      </c>
    </row>
    <row r="8" ht="22.5" customHeight="1">
      <c r="A8" s="28" t="s">
        <v>67</v>
      </c>
      <c r="B8" s="29" t="s">
        <v>129</v>
      </c>
      <c r="C8" s="29" t="s">
        <v>121</v>
      </c>
      <c r="D8" s="29" t="s">
        <v>79</v>
      </c>
      <c r="E8" s="29" t="s">
        <v>75</v>
      </c>
      <c r="F8" s="29" t="s">
        <v>75</v>
      </c>
      <c r="J8" s="35" t="s">
        <v>131</v>
      </c>
      <c r="K8" s="35" t="s">
        <v>131</v>
      </c>
      <c r="L8" s="27" t="str">
        <f t="shared" ref="L8:O8" si="8">C38</f>
        <v>Высокая</v>
      </c>
      <c r="M8" s="27" t="str">
        <f t="shared" si="8"/>
        <v>Средняя</v>
      </c>
      <c r="N8" s="27" t="str">
        <f t="shared" si="8"/>
        <v>Средняя</v>
      </c>
      <c r="O8" s="27" t="str">
        <f t="shared" si="8"/>
        <v>Высокая</v>
      </c>
    </row>
    <row r="9" ht="22.5" customHeight="1">
      <c r="A9" s="28" t="s">
        <v>67</v>
      </c>
      <c r="B9" s="29" t="s">
        <v>134</v>
      </c>
      <c r="C9" s="29" t="s">
        <v>136</v>
      </c>
      <c r="D9" s="29" t="s">
        <v>136</v>
      </c>
      <c r="E9" s="29" t="s">
        <v>136</v>
      </c>
      <c r="F9" s="29" t="s">
        <v>136</v>
      </c>
      <c r="J9" s="27" t="str">
        <f t="shared" ref="J9:O9" si="9">A42</f>
        <v>Профессиональный рост</v>
      </c>
      <c r="K9" s="27" t="str">
        <f t="shared" si="9"/>
        <v>Project Zomboid</v>
      </c>
      <c r="L9" s="27" t="str">
        <f t="shared" si="9"/>
        <v>Низкая</v>
      </c>
      <c r="M9" s="27" t="str">
        <f t="shared" si="9"/>
        <v>Средняя</v>
      </c>
      <c r="N9" s="27" t="str">
        <f t="shared" si="9"/>
        <v>Высокая</v>
      </c>
      <c r="O9" s="27" t="str">
        <f t="shared" si="9"/>
        <v>Средняя</v>
      </c>
    </row>
    <row r="10" ht="22.5" customHeight="1">
      <c r="A10" s="37" t="s">
        <v>146</v>
      </c>
      <c r="B10" s="29" t="s">
        <v>68</v>
      </c>
      <c r="C10" s="29" t="s">
        <v>75</v>
      </c>
      <c r="D10" s="29" t="s">
        <v>75</v>
      </c>
      <c r="E10" s="29" t="s">
        <v>79</v>
      </c>
      <c r="F10" s="29" t="s">
        <v>80</v>
      </c>
      <c r="J10" s="27" t="str">
        <f t="shared" ref="J10:O10" si="10">A48</f>
        <v>Синдром хомяка</v>
      </c>
      <c r="K10" s="27" t="str">
        <f t="shared" si="10"/>
        <v>Project Zomboid</v>
      </c>
      <c r="L10" s="27" t="str">
        <f t="shared" si="10"/>
        <v>Максимальная</v>
      </c>
      <c r="M10" s="27" t="str">
        <f t="shared" si="10"/>
        <v>Максимальная</v>
      </c>
      <c r="N10" s="27" t="str">
        <f t="shared" si="10"/>
        <v>Максимальная</v>
      </c>
      <c r="O10" s="27" t="str">
        <f t="shared" si="10"/>
        <v>Высокая</v>
      </c>
    </row>
    <row r="11" ht="22.5" customHeight="1">
      <c r="A11" s="37" t="s">
        <v>146</v>
      </c>
      <c r="B11" s="29" t="s">
        <v>87</v>
      </c>
      <c r="C11" s="29" t="s">
        <v>75</v>
      </c>
      <c r="D11" s="29" t="s">
        <v>79</v>
      </c>
      <c r="E11" s="29" t="s">
        <v>80</v>
      </c>
      <c r="F11" s="29" t="s">
        <v>80</v>
      </c>
      <c r="J11" s="27" t="str">
        <f t="shared" ref="J11:O11" si="11">A56</f>
        <v>Бить людей железной палкой</v>
      </c>
      <c r="K11" s="27" t="str">
        <f t="shared" si="11"/>
        <v>Valheim</v>
      </c>
      <c r="L11" s="27" t="str">
        <f t="shared" si="11"/>
        <v>Высокая</v>
      </c>
      <c r="M11" s="27" t="str">
        <f t="shared" si="11"/>
        <v>Максимальная</v>
      </c>
      <c r="N11" s="27" t="str">
        <f t="shared" si="11"/>
        <v>Максимальная</v>
      </c>
      <c r="O11" s="27" t="str">
        <f t="shared" si="11"/>
        <v>Максимальная</v>
      </c>
    </row>
    <row r="12" ht="22.5" customHeight="1">
      <c r="A12" s="37" t="s">
        <v>146</v>
      </c>
      <c r="B12" s="29" t="s">
        <v>100</v>
      </c>
      <c r="C12" s="29" t="s">
        <v>80</v>
      </c>
      <c r="D12" s="29" t="s">
        <v>79</v>
      </c>
      <c r="E12" s="29" t="s">
        <v>80</v>
      </c>
      <c r="F12" s="29" t="s">
        <v>80</v>
      </c>
      <c r="J12" s="27" t="str">
        <f t="shared" ref="J12:O12" si="12">A59</f>
        <v>Мой дом моя крепость</v>
      </c>
      <c r="K12" s="27" t="str">
        <f t="shared" si="12"/>
        <v>7 Days to Die</v>
      </c>
      <c r="L12" s="27" t="str">
        <f t="shared" si="12"/>
        <v>Высокая</v>
      </c>
      <c r="M12" s="27" t="str">
        <f t="shared" si="12"/>
        <v>Высокая</v>
      </c>
      <c r="N12" s="27" t="str">
        <f t="shared" si="12"/>
        <v>Максимальная</v>
      </c>
      <c r="O12" s="27" t="str">
        <f t="shared" si="12"/>
        <v>Максимальная</v>
      </c>
    </row>
    <row r="13" ht="22.5" customHeight="1">
      <c r="A13" s="37" t="s">
        <v>146</v>
      </c>
      <c r="B13" s="29" t="s">
        <v>117</v>
      </c>
      <c r="C13" s="29" t="s">
        <v>103</v>
      </c>
      <c r="D13" s="29" t="s">
        <v>80</v>
      </c>
      <c r="E13" s="29" t="s">
        <v>121</v>
      </c>
      <c r="F13" s="29" t="s">
        <v>121</v>
      </c>
      <c r="J13" s="27" t="str">
        <f t="shared" ref="J13:O13" si="13">A66</f>
        <v>Устранение угрозы</v>
      </c>
      <c r="K13" s="27" t="str">
        <f t="shared" si="13"/>
        <v>Project Zomboid</v>
      </c>
      <c r="L13" s="27" t="str">
        <f t="shared" si="13"/>
        <v>Средняя</v>
      </c>
      <c r="M13" s="27" t="str">
        <f t="shared" si="13"/>
        <v>Средняя</v>
      </c>
      <c r="N13" s="27" t="str">
        <f t="shared" si="13"/>
        <v>Высокая</v>
      </c>
      <c r="O13" s="27" t="str">
        <f t="shared" si="13"/>
        <v>Максимальная</v>
      </c>
    </row>
    <row r="14" ht="22.5" customHeight="1">
      <c r="A14" s="37" t="s">
        <v>146</v>
      </c>
      <c r="B14" s="29" t="s">
        <v>129</v>
      </c>
      <c r="C14" s="29" t="s">
        <v>121</v>
      </c>
      <c r="D14" s="29" t="s">
        <v>121</v>
      </c>
      <c r="E14" s="29" t="s">
        <v>121</v>
      </c>
      <c r="F14" s="29" t="s">
        <v>121</v>
      </c>
      <c r="J14" s="27" t="str">
        <f t="shared" ref="J14:O14" si="14">A75</f>
        <v>Мы свой, мы новый мир построим</v>
      </c>
      <c r="K14" s="27" t="str">
        <f t="shared" si="14"/>
        <v>The Planet Crafter</v>
      </c>
      <c r="L14" s="27" t="str">
        <f t="shared" si="14"/>
        <v>Минимальная</v>
      </c>
      <c r="M14" s="27" t="str">
        <f t="shared" si="14"/>
        <v>Средняя</v>
      </c>
      <c r="N14" s="27" t="str">
        <f t="shared" si="14"/>
        <v>Высокая</v>
      </c>
      <c r="O14" s="27" t="str">
        <f t="shared" si="14"/>
        <v>Максимальная</v>
      </c>
    </row>
    <row r="15" ht="22.5" customHeight="1">
      <c r="A15" s="37" t="s">
        <v>146</v>
      </c>
      <c r="B15" s="29" t="s">
        <v>134</v>
      </c>
      <c r="C15" s="29" t="s">
        <v>79</v>
      </c>
      <c r="D15" s="29" t="s">
        <v>80</v>
      </c>
      <c r="E15" s="29" t="s">
        <v>121</v>
      </c>
      <c r="F15" s="29" t="s">
        <v>121</v>
      </c>
      <c r="J15" s="27" t="str">
        <f t="shared" ref="J15:O15" si="15">A79</f>
        <v>Шахты, заводы и склады</v>
      </c>
      <c r="K15" s="27" t="str">
        <f t="shared" si="15"/>
        <v>Space Engineers</v>
      </c>
      <c r="L15" s="27" t="str">
        <f t="shared" si="15"/>
        <v>Высокая</v>
      </c>
      <c r="M15" s="27" t="str">
        <f t="shared" si="15"/>
        <v>Максимальная</v>
      </c>
      <c r="N15" s="27" t="str">
        <f t="shared" si="15"/>
        <v>Максимальная</v>
      </c>
      <c r="O15" s="27" t="str">
        <f t="shared" si="15"/>
        <v>Высокая</v>
      </c>
    </row>
    <row r="16" ht="22.5" customHeight="1">
      <c r="A16" s="37" t="s">
        <v>231</v>
      </c>
      <c r="B16" s="29" t="s">
        <v>68</v>
      </c>
      <c r="C16" s="43" t="s">
        <v>79</v>
      </c>
      <c r="D16" s="43" t="s">
        <v>80</v>
      </c>
      <c r="E16" s="29" t="s">
        <v>121</v>
      </c>
      <c r="F16" s="29" t="s">
        <v>121</v>
      </c>
      <c r="J16" s="27" t="str">
        <f t="shared" ref="J16:O16" si="16">A84</f>
        <v>Юбочка в клеточку</v>
      </c>
      <c r="K16" s="27" t="str">
        <f t="shared" si="16"/>
        <v>Project Zomboid</v>
      </c>
      <c r="L16" s="27" t="str">
        <f t="shared" si="16"/>
        <v>Низкая</v>
      </c>
      <c r="M16" s="27" t="str">
        <f t="shared" si="16"/>
        <v>Средняя</v>
      </c>
      <c r="N16" s="27" t="str">
        <f t="shared" si="16"/>
        <v>Средняя</v>
      </c>
      <c r="O16" s="27" t="str">
        <f t="shared" si="16"/>
        <v>Высокая</v>
      </c>
    </row>
    <row r="17" ht="22.5" customHeight="1">
      <c r="A17" s="37" t="s">
        <v>231</v>
      </c>
      <c r="B17" s="29" t="s">
        <v>87</v>
      </c>
      <c r="C17" s="43" t="s">
        <v>79</v>
      </c>
      <c r="D17" s="43" t="s">
        <v>80</v>
      </c>
      <c r="E17" s="29" t="s">
        <v>121</v>
      </c>
      <c r="F17" s="29" t="s">
        <v>121</v>
      </c>
      <c r="J17" s="27" t="str">
        <f t="shared" ref="J17:O17" si="17">A91</f>
        <v>Креативный креатив</v>
      </c>
      <c r="K17" s="27" t="str">
        <f t="shared" si="17"/>
        <v>Space Engineers</v>
      </c>
      <c r="L17" s="27" t="str">
        <f t="shared" si="17"/>
        <v>Минимальная</v>
      </c>
      <c r="M17" s="27" t="str">
        <f t="shared" si="17"/>
        <v>Низкая</v>
      </c>
      <c r="N17" s="27" t="str">
        <f t="shared" si="17"/>
        <v>Средняя</v>
      </c>
      <c r="O17" s="27" t="str">
        <f t="shared" si="17"/>
        <v>Высокая</v>
      </c>
    </row>
    <row r="18" ht="22.5" customHeight="1">
      <c r="A18" s="37" t="s">
        <v>231</v>
      </c>
      <c r="B18" s="29" t="s">
        <v>100</v>
      </c>
      <c r="C18" s="43" t="s">
        <v>103</v>
      </c>
      <c r="D18" s="43" t="s">
        <v>79</v>
      </c>
      <c r="E18" s="43" t="s">
        <v>80</v>
      </c>
      <c r="F18" s="43" t="s">
        <v>80</v>
      </c>
      <c r="J18" s="46"/>
      <c r="K18" s="46"/>
      <c r="L18" s="27"/>
      <c r="M18" s="27"/>
      <c r="N18" s="27"/>
      <c r="O18" s="27"/>
    </row>
    <row r="19" ht="22.5" customHeight="1">
      <c r="A19" s="37" t="s">
        <v>231</v>
      </c>
      <c r="B19" s="29" t="s">
        <v>117</v>
      </c>
      <c r="C19" s="43" t="s">
        <v>103</v>
      </c>
      <c r="D19" s="43" t="s">
        <v>103</v>
      </c>
      <c r="E19" s="43" t="s">
        <v>103</v>
      </c>
      <c r="F19" s="43" t="s">
        <v>79</v>
      </c>
    </row>
    <row r="20" ht="22.5" customHeight="1">
      <c r="A20" s="37" t="s">
        <v>231</v>
      </c>
      <c r="B20" s="29" t="s">
        <v>129</v>
      </c>
      <c r="C20" s="43" t="s">
        <v>79</v>
      </c>
      <c r="D20" s="29" t="s">
        <v>75</v>
      </c>
      <c r="E20" s="29" t="s">
        <v>75</v>
      </c>
      <c r="F20" s="43" t="s">
        <v>79</v>
      </c>
    </row>
    <row r="21" ht="22.5" customHeight="1">
      <c r="A21" s="37" t="s">
        <v>231</v>
      </c>
      <c r="B21" s="29" t="s">
        <v>134</v>
      </c>
      <c r="C21" s="29" t="s">
        <v>75</v>
      </c>
      <c r="D21" s="29" t="s">
        <v>75</v>
      </c>
      <c r="E21" s="43" t="s">
        <v>79</v>
      </c>
      <c r="F21" s="43" t="s">
        <v>79</v>
      </c>
    </row>
    <row r="22" ht="22.5" customHeight="1">
      <c r="A22" s="37" t="s">
        <v>280</v>
      </c>
      <c r="B22" s="29" t="s">
        <v>68</v>
      </c>
      <c r="C22" s="43" t="s">
        <v>103</v>
      </c>
      <c r="D22" s="43" t="s">
        <v>103</v>
      </c>
      <c r="E22" s="29" t="s">
        <v>75</v>
      </c>
      <c r="F22" s="29" t="s">
        <v>75</v>
      </c>
    </row>
    <row r="23" ht="22.5" customHeight="1">
      <c r="A23" s="37" t="s">
        <v>280</v>
      </c>
      <c r="B23" s="29" t="s">
        <v>87</v>
      </c>
      <c r="C23" s="29" t="s">
        <v>75</v>
      </c>
      <c r="D23" s="43" t="s">
        <v>79</v>
      </c>
      <c r="E23" s="43" t="s">
        <v>79</v>
      </c>
      <c r="F23" s="43" t="s">
        <v>79</v>
      </c>
    </row>
    <row r="24" ht="22.5" customHeight="1">
      <c r="A24" s="37" t="s">
        <v>280</v>
      </c>
      <c r="B24" s="29" t="s">
        <v>100</v>
      </c>
      <c r="C24" s="43" t="s">
        <v>103</v>
      </c>
      <c r="D24" s="29" t="s">
        <v>75</v>
      </c>
      <c r="E24" s="43" t="s">
        <v>79</v>
      </c>
      <c r="F24" s="43" t="s">
        <v>80</v>
      </c>
    </row>
    <row r="25" ht="22.5" customHeight="1">
      <c r="A25" s="37" t="s">
        <v>280</v>
      </c>
      <c r="B25" s="29" t="s">
        <v>117</v>
      </c>
      <c r="C25" s="43" t="s">
        <v>79</v>
      </c>
      <c r="D25" s="43" t="s">
        <v>80</v>
      </c>
      <c r="E25" s="29" t="s">
        <v>121</v>
      </c>
      <c r="F25" s="29" t="s">
        <v>121</v>
      </c>
    </row>
    <row r="26" ht="22.5" customHeight="1">
      <c r="A26" s="37" t="s">
        <v>280</v>
      </c>
      <c r="B26" s="29" t="s">
        <v>129</v>
      </c>
      <c r="C26" s="43" t="s">
        <v>80</v>
      </c>
      <c r="D26" s="29" t="s">
        <v>121</v>
      </c>
      <c r="E26" s="29" t="s">
        <v>121</v>
      </c>
      <c r="F26" s="29" t="s">
        <v>121</v>
      </c>
    </row>
    <row r="27" ht="22.5" customHeight="1">
      <c r="A27" s="37" t="s">
        <v>280</v>
      </c>
      <c r="B27" s="29" t="s">
        <v>134</v>
      </c>
      <c r="C27" s="43" t="s">
        <v>80</v>
      </c>
      <c r="D27" s="29" t="s">
        <v>121</v>
      </c>
      <c r="E27" s="29" t="s">
        <v>121</v>
      </c>
      <c r="F27" s="29" t="s">
        <v>121</v>
      </c>
    </row>
    <row r="28" ht="22.5" customHeight="1">
      <c r="A28" s="37" t="s">
        <v>323</v>
      </c>
      <c r="B28" s="29" t="s">
        <v>68</v>
      </c>
      <c r="C28" s="29" t="s">
        <v>121</v>
      </c>
      <c r="D28" s="43" t="s">
        <v>80</v>
      </c>
      <c r="E28" s="29" t="s">
        <v>121</v>
      </c>
      <c r="F28" s="29" t="s">
        <v>121</v>
      </c>
    </row>
    <row r="29" ht="22.5" customHeight="1">
      <c r="A29" s="37" t="s">
        <v>323</v>
      </c>
      <c r="B29" s="29" t="s">
        <v>87</v>
      </c>
      <c r="C29" s="43" t="s">
        <v>80</v>
      </c>
      <c r="D29" s="43" t="s">
        <v>79</v>
      </c>
      <c r="E29" s="43" t="s">
        <v>79</v>
      </c>
      <c r="F29" s="43" t="s">
        <v>80</v>
      </c>
    </row>
    <row r="30" ht="22.5" customHeight="1">
      <c r="A30" s="37" t="s">
        <v>323</v>
      </c>
      <c r="B30" s="29" t="s">
        <v>100</v>
      </c>
      <c r="C30" s="43" t="s">
        <v>80</v>
      </c>
      <c r="D30" s="43" t="s">
        <v>79</v>
      </c>
      <c r="E30" s="29" t="s">
        <v>75</v>
      </c>
      <c r="F30" s="43" t="s">
        <v>103</v>
      </c>
    </row>
    <row r="31" ht="22.5" customHeight="1">
      <c r="A31" s="37" t="s">
        <v>323</v>
      </c>
      <c r="B31" s="29" t="s">
        <v>117</v>
      </c>
      <c r="C31" s="43" t="s">
        <v>80</v>
      </c>
      <c r="D31" s="43" t="s">
        <v>79</v>
      </c>
      <c r="E31" s="43" t="s">
        <v>79</v>
      </c>
      <c r="F31" s="43" t="s">
        <v>80</v>
      </c>
    </row>
    <row r="32" ht="22.5" customHeight="1">
      <c r="A32" s="37" t="s">
        <v>323</v>
      </c>
      <c r="B32" s="29" t="s">
        <v>129</v>
      </c>
      <c r="C32" s="43" t="s">
        <v>79</v>
      </c>
      <c r="D32" s="29" t="s">
        <v>75</v>
      </c>
      <c r="E32" s="29" t="s">
        <v>75</v>
      </c>
      <c r="F32" s="43" t="s">
        <v>79</v>
      </c>
    </row>
    <row r="33" ht="22.5" customHeight="1">
      <c r="A33" s="37" t="s">
        <v>323</v>
      </c>
      <c r="B33" s="29" t="s">
        <v>134</v>
      </c>
      <c r="C33" s="43" t="s">
        <v>79</v>
      </c>
      <c r="D33" s="43" t="s">
        <v>79</v>
      </c>
      <c r="E33" s="43" t="s">
        <v>79</v>
      </c>
      <c r="F33" s="29" t="s">
        <v>75</v>
      </c>
    </row>
    <row r="34" ht="22.5" customHeight="1">
      <c r="A34" s="37" t="s">
        <v>131</v>
      </c>
      <c r="B34" s="29" t="s">
        <v>68</v>
      </c>
      <c r="C34" s="29" t="s">
        <v>121</v>
      </c>
      <c r="D34" s="29" t="s">
        <v>121</v>
      </c>
      <c r="E34" s="29" t="s">
        <v>121</v>
      </c>
      <c r="F34" s="29" t="s">
        <v>121</v>
      </c>
    </row>
    <row r="35" ht="22.5" customHeight="1">
      <c r="A35" s="37" t="s">
        <v>131</v>
      </c>
      <c r="B35" s="29" t="s">
        <v>87</v>
      </c>
      <c r="C35" s="29" t="s">
        <v>121</v>
      </c>
      <c r="D35" s="29" t="s">
        <v>121</v>
      </c>
      <c r="E35" s="29" t="s">
        <v>121</v>
      </c>
      <c r="F35" s="29" t="s">
        <v>121</v>
      </c>
    </row>
    <row r="36" ht="22.5" customHeight="1">
      <c r="A36" s="37" t="s">
        <v>131</v>
      </c>
      <c r="B36" s="29" t="s">
        <v>100</v>
      </c>
      <c r="C36" s="29" t="s">
        <v>121</v>
      </c>
      <c r="D36" s="29" t="s">
        <v>121</v>
      </c>
      <c r="E36" s="29" t="s">
        <v>121</v>
      </c>
      <c r="F36" s="29" t="s">
        <v>121</v>
      </c>
    </row>
    <row r="37" ht="22.5" customHeight="1">
      <c r="A37" s="37" t="s">
        <v>131</v>
      </c>
      <c r="B37" s="29" t="s">
        <v>117</v>
      </c>
      <c r="C37" s="29" t="s">
        <v>121</v>
      </c>
      <c r="D37" s="29" t="s">
        <v>121</v>
      </c>
      <c r="E37" s="29" t="s">
        <v>121</v>
      </c>
      <c r="F37" s="29" t="s">
        <v>121</v>
      </c>
    </row>
    <row r="38" ht="22.5" customHeight="1">
      <c r="A38" s="37" t="s">
        <v>131</v>
      </c>
      <c r="B38" s="29" t="s">
        <v>129</v>
      </c>
      <c r="C38" s="29" t="s">
        <v>75</v>
      </c>
      <c r="D38" s="43" t="s">
        <v>79</v>
      </c>
      <c r="E38" s="43" t="s">
        <v>79</v>
      </c>
      <c r="F38" s="29" t="s">
        <v>75</v>
      </c>
    </row>
    <row r="39" ht="22.5" customHeight="1">
      <c r="A39" s="37" t="s">
        <v>131</v>
      </c>
      <c r="B39" s="29" t="s">
        <v>134</v>
      </c>
      <c r="C39" s="29" t="s">
        <v>79</v>
      </c>
      <c r="D39" s="29" t="s">
        <v>75</v>
      </c>
      <c r="E39" s="29" t="s">
        <v>75</v>
      </c>
      <c r="F39" s="43" t="s">
        <v>103</v>
      </c>
    </row>
    <row r="40" ht="22.5" customHeight="1">
      <c r="A40" s="37" t="s">
        <v>351</v>
      </c>
      <c r="B40" s="29" t="s">
        <v>68</v>
      </c>
      <c r="C40" s="29" t="s">
        <v>79</v>
      </c>
      <c r="D40" s="43" t="s">
        <v>80</v>
      </c>
      <c r="E40" s="29" t="s">
        <v>121</v>
      </c>
      <c r="F40" s="29" t="s">
        <v>121</v>
      </c>
    </row>
    <row r="41" ht="22.5" customHeight="1">
      <c r="A41" s="37" t="s">
        <v>351</v>
      </c>
      <c r="B41" s="29" t="s">
        <v>87</v>
      </c>
      <c r="C41" s="29" t="s">
        <v>75</v>
      </c>
      <c r="D41" s="43" t="s">
        <v>103</v>
      </c>
      <c r="E41" s="29" t="s">
        <v>75</v>
      </c>
      <c r="F41" s="43" t="s">
        <v>80</v>
      </c>
    </row>
    <row r="42" ht="22.5" customHeight="1">
      <c r="A42" s="37" t="s">
        <v>351</v>
      </c>
      <c r="B42" s="29" t="s">
        <v>100</v>
      </c>
      <c r="C42" s="43" t="s">
        <v>80</v>
      </c>
      <c r="D42" s="29" t="s">
        <v>79</v>
      </c>
      <c r="E42" s="29" t="s">
        <v>75</v>
      </c>
      <c r="F42" s="29" t="s">
        <v>79</v>
      </c>
    </row>
    <row r="43" ht="22.5" customHeight="1">
      <c r="A43" s="37" t="s">
        <v>351</v>
      </c>
      <c r="B43" s="29" t="s">
        <v>117</v>
      </c>
      <c r="C43" s="29" t="s">
        <v>79</v>
      </c>
      <c r="D43" s="29" t="s">
        <v>75</v>
      </c>
      <c r="E43" s="29" t="s">
        <v>79</v>
      </c>
      <c r="F43" s="43" t="s">
        <v>80</v>
      </c>
    </row>
    <row r="44" ht="22.5" customHeight="1">
      <c r="A44" s="37" t="s">
        <v>351</v>
      </c>
      <c r="B44" s="29" t="s">
        <v>129</v>
      </c>
      <c r="C44" s="29" t="s">
        <v>79</v>
      </c>
      <c r="D44" s="29" t="s">
        <v>75</v>
      </c>
      <c r="E44" s="29" t="s">
        <v>79</v>
      </c>
      <c r="F44" s="29" t="s">
        <v>79</v>
      </c>
    </row>
    <row r="45" ht="22.5" customHeight="1">
      <c r="A45" s="37" t="s">
        <v>351</v>
      </c>
      <c r="B45" s="29" t="s">
        <v>134</v>
      </c>
      <c r="C45" s="43" t="s">
        <v>80</v>
      </c>
      <c r="D45" s="43" t="s">
        <v>80</v>
      </c>
      <c r="E45" s="43" t="s">
        <v>80</v>
      </c>
      <c r="F45" s="43" t="s">
        <v>80</v>
      </c>
    </row>
    <row r="46" ht="22.5" customHeight="1">
      <c r="A46" s="37" t="s">
        <v>391</v>
      </c>
      <c r="B46" s="29" t="s">
        <v>68</v>
      </c>
      <c r="C46" s="43" t="s">
        <v>103</v>
      </c>
      <c r="D46" s="29" t="s">
        <v>75</v>
      </c>
      <c r="E46" s="29" t="s">
        <v>75</v>
      </c>
      <c r="F46" s="29" t="s">
        <v>79</v>
      </c>
    </row>
    <row r="47" ht="22.5" customHeight="1">
      <c r="A47" s="37" t="s">
        <v>391</v>
      </c>
      <c r="B47" s="29" t="s">
        <v>87</v>
      </c>
      <c r="C47" s="43" t="s">
        <v>103</v>
      </c>
      <c r="D47" s="29" t="s">
        <v>75</v>
      </c>
      <c r="E47" s="29" t="s">
        <v>79</v>
      </c>
      <c r="F47" s="29" t="s">
        <v>79</v>
      </c>
    </row>
    <row r="48" ht="22.5" customHeight="1">
      <c r="A48" s="37" t="s">
        <v>391</v>
      </c>
      <c r="B48" s="29" t="s">
        <v>100</v>
      </c>
      <c r="C48" s="43" t="s">
        <v>103</v>
      </c>
      <c r="D48" s="43" t="s">
        <v>103</v>
      </c>
      <c r="E48" s="43" t="s">
        <v>103</v>
      </c>
      <c r="F48" s="29" t="s">
        <v>75</v>
      </c>
    </row>
    <row r="49" ht="22.5" customHeight="1">
      <c r="A49" s="37" t="s">
        <v>391</v>
      </c>
      <c r="B49" s="29" t="s">
        <v>117</v>
      </c>
      <c r="C49" s="29" t="s">
        <v>75</v>
      </c>
      <c r="D49" s="29" t="s">
        <v>79</v>
      </c>
      <c r="E49" s="43" t="s">
        <v>80</v>
      </c>
      <c r="F49" s="29" t="s">
        <v>121</v>
      </c>
    </row>
    <row r="50" ht="22.5" customHeight="1">
      <c r="A50" s="37" t="s">
        <v>391</v>
      </c>
      <c r="B50" s="29" t="s">
        <v>129</v>
      </c>
      <c r="C50" s="43" t="s">
        <v>103</v>
      </c>
      <c r="D50" s="29" t="s">
        <v>75</v>
      </c>
      <c r="E50" s="29" t="s">
        <v>75</v>
      </c>
      <c r="F50" s="29" t="s">
        <v>79</v>
      </c>
    </row>
    <row r="51" ht="22.5" customHeight="1">
      <c r="A51" s="37" t="s">
        <v>391</v>
      </c>
      <c r="B51" s="29" t="s">
        <v>134</v>
      </c>
      <c r="C51" s="29" t="s">
        <v>75</v>
      </c>
      <c r="D51" s="43" t="s">
        <v>103</v>
      </c>
      <c r="E51" s="29" t="s">
        <v>75</v>
      </c>
      <c r="F51" s="29" t="s">
        <v>79</v>
      </c>
    </row>
    <row r="52" ht="22.5" customHeight="1">
      <c r="A52" s="37" t="s">
        <v>425</v>
      </c>
      <c r="B52" s="29" t="s">
        <v>68</v>
      </c>
      <c r="C52" s="29" t="s">
        <v>75</v>
      </c>
      <c r="D52" s="29" t="s">
        <v>75</v>
      </c>
      <c r="E52" s="29" t="s">
        <v>75</v>
      </c>
      <c r="F52" s="29" t="s">
        <v>75</v>
      </c>
    </row>
    <row r="53" ht="22.5" customHeight="1">
      <c r="A53" s="37" t="s">
        <v>425</v>
      </c>
      <c r="B53" s="29" t="s">
        <v>87</v>
      </c>
      <c r="C53" s="29" t="s">
        <v>79</v>
      </c>
      <c r="D53" s="29" t="s">
        <v>79</v>
      </c>
      <c r="E53" s="29" t="s">
        <v>79</v>
      </c>
      <c r="F53" s="43" t="s">
        <v>80</v>
      </c>
    </row>
    <row r="54" ht="22.5" customHeight="1">
      <c r="A54" s="37" t="s">
        <v>425</v>
      </c>
      <c r="B54" s="29" t="s">
        <v>100</v>
      </c>
      <c r="C54" s="29" t="s">
        <v>75</v>
      </c>
      <c r="D54" s="29" t="s">
        <v>75</v>
      </c>
      <c r="E54" s="29" t="s">
        <v>79</v>
      </c>
      <c r="F54" s="43" t="s">
        <v>80</v>
      </c>
    </row>
    <row r="55" ht="22.5" customHeight="1">
      <c r="A55" s="37" t="s">
        <v>425</v>
      </c>
      <c r="B55" s="29" t="s">
        <v>117</v>
      </c>
      <c r="C55" s="29" t="s">
        <v>121</v>
      </c>
      <c r="D55" s="29" t="s">
        <v>121</v>
      </c>
      <c r="E55" s="29" t="s">
        <v>79</v>
      </c>
      <c r="F55" s="29" t="s">
        <v>121</v>
      </c>
    </row>
    <row r="56" ht="22.5" customHeight="1">
      <c r="A56" s="37" t="s">
        <v>425</v>
      </c>
      <c r="B56" s="29" t="s">
        <v>129</v>
      </c>
      <c r="C56" s="29" t="s">
        <v>75</v>
      </c>
      <c r="D56" s="43" t="s">
        <v>103</v>
      </c>
      <c r="E56" s="43" t="s">
        <v>103</v>
      </c>
      <c r="F56" s="43" t="s">
        <v>103</v>
      </c>
    </row>
    <row r="57" ht="22.5" customHeight="1">
      <c r="A57" s="37" t="s">
        <v>425</v>
      </c>
      <c r="B57" s="29" t="s">
        <v>134</v>
      </c>
      <c r="C57" s="29" t="s">
        <v>121</v>
      </c>
      <c r="D57" s="29" t="s">
        <v>121</v>
      </c>
      <c r="E57" s="29" t="s">
        <v>121</v>
      </c>
      <c r="F57" s="29" t="s">
        <v>121</v>
      </c>
    </row>
    <row r="58" ht="22.5" customHeight="1">
      <c r="A58" s="37" t="s">
        <v>446</v>
      </c>
      <c r="B58" s="29" t="s">
        <v>68</v>
      </c>
      <c r="C58" s="29" t="s">
        <v>75</v>
      </c>
      <c r="D58" s="29" t="s">
        <v>75</v>
      </c>
      <c r="E58" s="29" t="s">
        <v>79</v>
      </c>
      <c r="F58" s="43" t="s">
        <v>80</v>
      </c>
    </row>
    <row r="59" ht="22.5" customHeight="1">
      <c r="A59" s="37" t="s">
        <v>446</v>
      </c>
      <c r="B59" s="29" t="s">
        <v>87</v>
      </c>
      <c r="C59" s="29" t="s">
        <v>75</v>
      </c>
      <c r="D59" s="29" t="s">
        <v>75</v>
      </c>
      <c r="E59" s="43" t="s">
        <v>103</v>
      </c>
      <c r="F59" s="43" t="s">
        <v>103</v>
      </c>
    </row>
    <row r="60" ht="22.5" customHeight="1">
      <c r="A60" s="37" t="s">
        <v>446</v>
      </c>
      <c r="B60" s="29" t="s">
        <v>100</v>
      </c>
      <c r="C60" s="29" t="s">
        <v>79</v>
      </c>
      <c r="D60" s="29" t="s">
        <v>79</v>
      </c>
      <c r="E60" s="29" t="s">
        <v>80</v>
      </c>
      <c r="F60" s="43" t="s">
        <v>121</v>
      </c>
    </row>
    <row r="61" ht="22.5" customHeight="1">
      <c r="A61" s="37" t="s">
        <v>446</v>
      </c>
      <c r="B61" s="29" t="s">
        <v>117</v>
      </c>
      <c r="C61" s="29" t="s">
        <v>75</v>
      </c>
      <c r="D61" s="29" t="s">
        <v>79</v>
      </c>
      <c r="E61" s="29" t="s">
        <v>80</v>
      </c>
      <c r="F61" s="43" t="s">
        <v>121</v>
      </c>
    </row>
    <row r="62" ht="22.5" customHeight="1">
      <c r="A62" s="37" t="s">
        <v>446</v>
      </c>
      <c r="B62" s="29" t="s">
        <v>129</v>
      </c>
      <c r="C62" s="29" t="s">
        <v>79</v>
      </c>
      <c r="D62" s="29" t="s">
        <v>80</v>
      </c>
      <c r="E62" s="43" t="s">
        <v>121</v>
      </c>
      <c r="F62" s="43" t="s">
        <v>121</v>
      </c>
    </row>
    <row r="63" ht="22.5" customHeight="1">
      <c r="A63" s="37" t="s">
        <v>446</v>
      </c>
      <c r="B63" s="29" t="s">
        <v>134</v>
      </c>
      <c r="C63" s="29" t="s">
        <v>80</v>
      </c>
      <c r="D63" s="43" t="s">
        <v>121</v>
      </c>
      <c r="E63" s="43" t="s">
        <v>121</v>
      </c>
      <c r="F63" s="43" t="s">
        <v>121</v>
      </c>
    </row>
    <row r="64" ht="22.5" customHeight="1">
      <c r="A64" s="37" t="s">
        <v>461</v>
      </c>
      <c r="B64" s="29" t="s">
        <v>68</v>
      </c>
      <c r="C64" s="43" t="s">
        <v>121</v>
      </c>
      <c r="D64" s="43" t="s">
        <v>121</v>
      </c>
      <c r="E64" s="43" t="s">
        <v>121</v>
      </c>
      <c r="F64" s="43" t="s">
        <v>121</v>
      </c>
    </row>
    <row r="65" ht="22.5" customHeight="1">
      <c r="A65" s="37" t="s">
        <v>461</v>
      </c>
      <c r="B65" s="29" t="s">
        <v>87</v>
      </c>
      <c r="C65" s="29" t="s">
        <v>79</v>
      </c>
      <c r="D65" s="29" t="s">
        <v>80</v>
      </c>
      <c r="E65" s="43" t="s">
        <v>121</v>
      </c>
      <c r="F65" s="43" t="s">
        <v>121</v>
      </c>
    </row>
    <row r="66" ht="22.5" customHeight="1">
      <c r="A66" s="37" t="s">
        <v>461</v>
      </c>
      <c r="B66" s="29" t="s">
        <v>100</v>
      </c>
      <c r="C66" s="29" t="s">
        <v>79</v>
      </c>
      <c r="D66" s="29" t="s">
        <v>79</v>
      </c>
      <c r="E66" s="43" t="s">
        <v>75</v>
      </c>
      <c r="F66" s="43" t="s">
        <v>103</v>
      </c>
    </row>
    <row r="67" ht="22.5" customHeight="1">
      <c r="A67" s="37" t="s">
        <v>461</v>
      </c>
      <c r="B67" s="29" t="s">
        <v>117</v>
      </c>
      <c r="C67" s="43" t="s">
        <v>121</v>
      </c>
      <c r="D67" s="43" t="s">
        <v>121</v>
      </c>
      <c r="E67" s="43" t="s">
        <v>121</v>
      </c>
      <c r="F67" s="43" t="s">
        <v>121</v>
      </c>
    </row>
    <row r="68" ht="22.5" customHeight="1">
      <c r="A68" s="37" t="s">
        <v>461</v>
      </c>
      <c r="B68" s="29" t="s">
        <v>129</v>
      </c>
      <c r="C68" s="43" t="s">
        <v>121</v>
      </c>
      <c r="D68" s="29" t="s">
        <v>80</v>
      </c>
      <c r="E68" s="29" t="s">
        <v>79</v>
      </c>
      <c r="F68" s="29" t="s">
        <v>79</v>
      </c>
    </row>
    <row r="69" ht="22.5" customHeight="1">
      <c r="A69" s="37" t="s">
        <v>461</v>
      </c>
      <c r="B69" s="29" t="s">
        <v>134</v>
      </c>
      <c r="C69" s="43" t="s">
        <v>121</v>
      </c>
      <c r="D69" s="43" t="s">
        <v>121</v>
      </c>
      <c r="E69" s="43" t="s">
        <v>121</v>
      </c>
      <c r="F69" s="43" t="s">
        <v>121</v>
      </c>
    </row>
    <row r="70" ht="22.5" customHeight="1">
      <c r="A70" s="37" t="s">
        <v>491</v>
      </c>
      <c r="B70" s="29" t="s">
        <v>68</v>
      </c>
      <c r="C70" s="43" t="s">
        <v>121</v>
      </c>
      <c r="D70" s="43" t="s">
        <v>121</v>
      </c>
      <c r="E70" s="43" t="s">
        <v>121</v>
      </c>
      <c r="F70" s="43" t="s">
        <v>121</v>
      </c>
    </row>
    <row r="71" ht="22.5" customHeight="1">
      <c r="A71" s="37" t="s">
        <v>491</v>
      </c>
      <c r="B71" s="29" t="s">
        <v>87</v>
      </c>
      <c r="C71" s="43" t="s">
        <v>121</v>
      </c>
      <c r="D71" s="29" t="s">
        <v>80</v>
      </c>
      <c r="E71" s="29" t="s">
        <v>80</v>
      </c>
      <c r="F71" s="43" t="s">
        <v>121</v>
      </c>
    </row>
    <row r="72" ht="22.5" customHeight="1">
      <c r="A72" s="37" t="s">
        <v>491</v>
      </c>
      <c r="B72" s="29" t="s">
        <v>100</v>
      </c>
      <c r="C72" s="43" t="s">
        <v>121</v>
      </c>
      <c r="D72" s="29" t="s">
        <v>80</v>
      </c>
      <c r="E72" s="29" t="s">
        <v>79</v>
      </c>
      <c r="F72" s="43" t="s">
        <v>75</v>
      </c>
    </row>
    <row r="73" ht="22.5" customHeight="1">
      <c r="A73" s="37" t="s">
        <v>491</v>
      </c>
      <c r="B73" s="29" t="s">
        <v>117</v>
      </c>
      <c r="C73" s="43" t="s">
        <v>121</v>
      </c>
      <c r="D73" s="43" t="s">
        <v>121</v>
      </c>
      <c r="E73" s="43" t="s">
        <v>121</v>
      </c>
      <c r="F73" s="43" t="s">
        <v>121</v>
      </c>
    </row>
    <row r="74" ht="22.5" customHeight="1">
      <c r="A74" s="37" t="s">
        <v>491</v>
      </c>
      <c r="B74" s="29" t="s">
        <v>129</v>
      </c>
      <c r="C74" s="43" t="s">
        <v>121</v>
      </c>
      <c r="D74" s="29" t="s">
        <v>80</v>
      </c>
      <c r="E74" s="29" t="s">
        <v>80</v>
      </c>
      <c r="F74" s="29" t="s">
        <v>80</v>
      </c>
    </row>
    <row r="75" ht="22.5" customHeight="1">
      <c r="A75" s="37" t="s">
        <v>491</v>
      </c>
      <c r="B75" s="29" t="s">
        <v>134</v>
      </c>
      <c r="C75" s="43" t="s">
        <v>121</v>
      </c>
      <c r="D75" s="29" t="s">
        <v>79</v>
      </c>
      <c r="E75" s="43" t="s">
        <v>75</v>
      </c>
      <c r="F75" s="43" t="s">
        <v>103</v>
      </c>
    </row>
    <row r="76" ht="22.5" customHeight="1">
      <c r="A76" s="37" t="s">
        <v>528</v>
      </c>
      <c r="B76" s="29" t="s">
        <v>68</v>
      </c>
      <c r="C76" s="29" t="s">
        <v>80</v>
      </c>
      <c r="D76" s="29" t="s">
        <v>79</v>
      </c>
      <c r="E76" s="29" t="s">
        <v>79</v>
      </c>
      <c r="F76" s="29" t="s">
        <v>80</v>
      </c>
    </row>
    <row r="77" ht="22.5" customHeight="1">
      <c r="A77" s="37" t="s">
        <v>528</v>
      </c>
      <c r="B77" s="29" t="s">
        <v>87</v>
      </c>
      <c r="C77" s="29" t="s">
        <v>79</v>
      </c>
      <c r="D77" s="29" t="s">
        <v>79</v>
      </c>
      <c r="E77" s="43" t="s">
        <v>75</v>
      </c>
      <c r="F77" s="29" t="s">
        <v>80</v>
      </c>
    </row>
    <row r="78" ht="22.5" customHeight="1">
      <c r="A78" s="37" t="s">
        <v>528</v>
      </c>
      <c r="B78" s="29" t="s">
        <v>100</v>
      </c>
      <c r="C78" s="29" t="s">
        <v>80</v>
      </c>
      <c r="D78" s="29" t="s">
        <v>80</v>
      </c>
      <c r="E78" s="29" t="s">
        <v>80</v>
      </c>
      <c r="F78" s="43" t="s">
        <v>121</v>
      </c>
    </row>
    <row r="79" ht="22.5" customHeight="1">
      <c r="A79" s="37" t="s">
        <v>528</v>
      </c>
      <c r="B79" s="29" t="s">
        <v>117</v>
      </c>
      <c r="C79" s="43" t="s">
        <v>75</v>
      </c>
      <c r="D79" s="43" t="s">
        <v>103</v>
      </c>
      <c r="E79" s="43" t="s">
        <v>103</v>
      </c>
      <c r="F79" s="43" t="s">
        <v>75</v>
      </c>
    </row>
    <row r="80" ht="22.5" customHeight="1">
      <c r="A80" s="37" t="s">
        <v>528</v>
      </c>
      <c r="B80" s="29" t="s">
        <v>129</v>
      </c>
      <c r="C80" s="29" t="s">
        <v>79</v>
      </c>
      <c r="D80" s="43" t="s">
        <v>75</v>
      </c>
      <c r="E80" s="43" t="s">
        <v>75</v>
      </c>
      <c r="F80" s="43" t="s">
        <v>75</v>
      </c>
    </row>
    <row r="81" ht="22.5" customHeight="1">
      <c r="A81" s="37" t="s">
        <v>528</v>
      </c>
      <c r="B81" s="29" t="s">
        <v>134</v>
      </c>
      <c r="C81" s="29" t="s">
        <v>79</v>
      </c>
      <c r="D81" s="43" t="s">
        <v>75</v>
      </c>
      <c r="E81" s="43" t="s">
        <v>103</v>
      </c>
      <c r="F81" s="43" t="s">
        <v>75</v>
      </c>
    </row>
    <row r="82" ht="22.5" customHeight="1">
      <c r="A82" s="37" t="s">
        <v>536</v>
      </c>
      <c r="B82" s="29" t="s">
        <v>68</v>
      </c>
      <c r="C82" s="43" t="s">
        <v>121</v>
      </c>
      <c r="D82" s="29" t="s">
        <v>79</v>
      </c>
      <c r="E82" s="43" t="s">
        <v>121</v>
      </c>
      <c r="F82" s="43" t="s">
        <v>121</v>
      </c>
    </row>
    <row r="83" ht="22.5" customHeight="1">
      <c r="A83" s="37" t="s">
        <v>536</v>
      </c>
      <c r="B83" s="29" t="s">
        <v>87</v>
      </c>
      <c r="C83" s="43" t="s">
        <v>80</v>
      </c>
      <c r="D83" s="29" t="s">
        <v>79</v>
      </c>
      <c r="E83" s="29" t="s">
        <v>79</v>
      </c>
      <c r="F83" s="43" t="s">
        <v>80</v>
      </c>
    </row>
    <row r="84" ht="22.5" customHeight="1">
      <c r="A84" s="37" t="s">
        <v>536</v>
      </c>
      <c r="B84" s="29" t="s">
        <v>100</v>
      </c>
      <c r="C84" s="43" t="s">
        <v>80</v>
      </c>
      <c r="D84" s="29" t="s">
        <v>79</v>
      </c>
      <c r="E84" s="29" t="s">
        <v>79</v>
      </c>
      <c r="F84" s="29" t="s">
        <v>75</v>
      </c>
    </row>
    <row r="85" ht="22.5" customHeight="1">
      <c r="A85" s="37" t="s">
        <v>536</v>
      </c>
      <c r="B85" s="29" t="s">
        <v>117</v>
      </c>
      <c r="C85" s="43" t="s">
        <v>121</v>
      </c>
      <c r="D85" s="43" t="s">
        <v>80</v>
      </c>
      <c r="E85" s="43" t="s">
        <v>121</v>
      </c>
      <c r="F85" s="43" t="s">
        <v>121</v>
      </c>
    </row>
    <row r="86" ht="22.5" customHeight="1">
      <c r="A86" s="37" t="s">
        <v>536</v>
      </c>
      <c r="B86" s="29" t="s">
        <v>129</v>
      </c>
      <c r="C86" s="43" t="s">
        <v>121</v>
      </c>
      <c r="D86" s="43" t="s">
        <v>80</v>
      </c>
      <c r="E86" s="43" t="s">
        <v>80</v>
      </c>
      <c r="F86" s="43" t="s">
        <v>121</v>
      </c>
    </row>
    <row r="87" ht="22.5" customHeight="1">
      <c r="A87" s="37" t="s">
        <v>536</v>
      </c>
      <c r="B87" s="29" t="s">
        <v>134</v>
      </c>
      <c r="C87" s="43" t="s">
        <v>121</v>
      </c>
      <c r="D87" s="43" t="s">
        <v>121</v>
      </c>
      <c r="E87" s="29" t="s">
        <v>80</v>
      </c>
      <c r="F87" s="43" t="s">
        <v>121</v>
      </c>
    </row>
    <row r="88" ht="22.5" customHeight="1">
      <c r="A88" s="37" t="s">
        <v>542</v>
      </c>
      <c r="B88" s="29" t="s">
        <v>68</v>
      </c>
      <c r="C88" s="43" t="s">
        <v>121</v>
      </c>
      <c r="D88" s="43" t="s">
        <v>121</v>
      </c>
      <c r="E88" s="43" t="s">
        <v>121</v>
      </c>
      <c r="F88" s="43" t="s">
        <v>121</v>
      </c>
    </row>
    <row r="89" ht="22.5" customHeight="1">
      <c r="A89" s="37" t="s">
        <v>542</v>
      </c>
      <c r="B89" s="29" t="s">
        <v>87</v>
      </c>
      <c r="C89" s="43" t="s">
        <v>121</v>
      </c>
      <c r="D89" s="29" t="s">
        <v>80</v>
      </c>
      <c r="E89" s="29" t="s">
        <v>80</v>
      </c>
      <c r="F89" s="43" t="s">
        <v>121</v>
      </c>
    </row>
    <row r="90" ht="22.5" customHeight="1">
      <c r="A90" s="37" t="s">
        <v>542</v>
      </c>
      <c r="B90" s="29" t="s">
        <v>100</v>
      </c>
      <c r="C90" s="43" t="s">
        <v>121</v>
      </c>
      <c r="D90" s="29" t="s">
        <v>80</v>
      </c>
      <c r="E90" s="29" t="s">
        <v>80</v>
      </c>
      <c r="F90" s="43" t="s">
        <v>121</v>
      </c>
    </row>
    <row r="91" ht="22.5" customHeight="1">
      <c r="A91" s="37" t="s">
        <v>542</v>
      </c>
      <c r="B91" s="29" t="s">
        <v>117</v>
      </c>
      <c r="C91" s="43" t="s">
        <v>121</v>
      </c>
      <c r="D91" s="29" t="s">
        <v>80</v>
      </c>
      <c r="E91" s="43" t="s">
        <v>79</v>
      </c>
      <c r="F91" s="43" t="s">
        <v>75</v>
      </c>
    </row>
    <row r="92" ht="22.5" customHeight="1">
      <c r="A92" s="37" t="s">
        <v>542</v>
      </c>
      <c r="B92" s="29" t="s">
        <v>129</v>
      </c>
      <c r="C92" s="29" t="s">
        <v>80</v>
      </c>
      <c r="D92" s="43" t="s">
        <v>75</v>
      </c>
      <c r="E92" s="43" t="s">
        <v>75</v>
      </c>
      <c r="F92" s="43" t="s">
        <v>79</v>
      </c>
    </row>
    <row r="93" ht="22.5" customHeight="1">
      <c r="A93" s="37" t="s">
        <v>542</v>
      </c>
      <c r="B93" s="29" t="s">
        <v>134</v>
      </c>
      <c r="C93" s="43" t="s">
        <v>121</v>
      </c>
      <c r="D93" s="43" t="s">
        <v>121</v>
      </c>
      <c r="E93" s="43" t="s">
        <v>121</v>
      </c>
      <c r="F93" s="43" t="s">
        <v>121</v>
      </c>
    </row>
    <row r="94" ht="22.5" customHeight="1">
      <c r="A94" s="37" t="s">
        <v>549</v>
      </c>
      <c r="B94" s="29" t="s">
        <v>68</v>
      </c>
      <c r="C94" s="43" t="s">
        <v>79</v>
      </c>
      <c r="D94" s="43" t="s">
        <v>79</v>
      </c>
      <c r="E94" s="43" t="s">
        <v>79</v>
      </c>
      <c r="F94" s="29" t="s">
        <v>80</v>
      </c>
    </row>
    <row r="95" ht="22.5" customHeight="1">
      <c r="A95" s="37" t="s">
        <v>549</v>
      </c>
      <c r="B95" s="29" t="s">
        <v>87</v>
      </c>
      <c r="C95" s="43" t="s">
        <v>79</v>
      </c>
      <c r="D95" s="43" t="s">
        <v>75</v>
      </c>
      <c r="E95" s="43" t="s">
        <v>79</v>
      </c>
      <c r="F95" s="29" t="s">
        <v>80</v>
      </c>
    </row>
    <row r="96" ht="22.5" customHeight="1">
      <c r="A96" s="37" t="s">
        <v>549</v>
      </c>
      <c r="B96" s="29" t="s">
        <v>100</v>
      </c>
      <c r="C96" s="43" t="s">
        <v>79</v>
      </c>
      <c r="D96" s="29" t="s">
        <v>80</v>
      </c>
      <c r="E96" s="43" t="s">
        <v>121</v>
      </c>
      <c r="F96" s="43" t="s">
        <v>121</v>
      </c>
    </row>
    <row r="97" ht="22.5" customHeight="1">
      <c r="A97" s="37" t="s">
        <v>549</v>
      </c>
      <c r="B97" s="29" t="s">
        <v>117</v>
      </c>
      <c r="C97" s="43" t="s">
        <v>79</v>
      </c>
      <c r="D97" s="43" t="s">
        <v>79</v>
      </c>
      <c r="E97" s="29" t="s">
        <v>80</v>
      </c>
      <c r="F97" s="43" t="s">
        <v>121</v>
      </c>
    </row>
    <row r="98" ht="22.5" customHeight="1">
      <c r="A98" s="37" t="s">
        <v>549</v>
      </c>
      <c r="B98" s="29" t="s">
        <v>129</v>
      </c>
      <c r="C98" s="43" t="s">
        <v>79</v>
      </c>
      <c r="D98" s="43" t="s">
        <v>75</v>
      </c>
      <c r="E98" s="43" t="s">
        <v>75</v>
      </c>
      <c r="F98" s="43" t="s">
        <v>75</v>
      </c>
    </row>
    <row r="99" ht="22.5" customHeight="1">
      <c r="A99" s="37" t="s">
        <v>549</v>
      </c>
      <c r="B99" s="29" t="s">
        <v>134</v>
      </c>
      <c r="C99" s="43" t="s">
        <v>79</v>
      </c>
      <c r="D99" s="43" t="s">
        <v>75</v>
      </c>
      <c r="E99" s="43" t="s">
        <v>103</v>
      </c>
      <c r="F99" s="43" t="s">
        <v>79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75"/>
    <col customWidth="1" min="3" max="3" width="23.38"/>
    <col customWidth="1" min="4" max="4" width="33.13"/>
    <col customWidth="1" min="5" max="6" width="28.88"/>
    <col customWidth="1" min="8" max="8" width="49.25"/>
    <col customWidth="1" min="9" max="9" width="26.5"/>
    <col customWidth="1" min="10" max="10" width="20.0"/>
    <col customWidth="1" min="11" max="11" width="17.88"/>
    <col customWidth="1" min="12" max="12" width="33.38"/>
    <col customWidth="1" min="13" max="13" width="25.0"/>
    <col customWidth="1" min="14" max="14" width="26.63"/>
    <col customWidth="1" min="15" max="15" width="26.13"/>
    <col customWidth="1" min="16" max="16" width="26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2" t="s">
        <v>4</v>
      </c>
      <c r="C2" s="3"/>
      <c r="D2" s="3"/>
      <c r="E2" s="3"/>
      <c r="F2" s="4"/>
      <c r="G2" s="1"/>
      <c r="H2" s="2" t="s">
        <v>6</v>
      </c>
      <c r="I2" s="3"/>
      <c r="J2" s="3"/>
      <c r="K2" s="3"/>
      <c r="L2" s="3"/>
      <c r="M2" s="3"/>
      <c r="N2" s="3"/>
      <c r="O2" s="3"/>
      <c r="P2" s="4"/>
      <c r="Q2" s="1"/>
      <c r="R2" s="1"/>
      <c r="S2" s="1"/>
      <c r="T2" s="1"/>
      <c r="U2" s="1"/>
      <c r="V2" s="1"/>
      <c r="W2" s="1"/>
      <c r="X2" s="1"/>
    </row>
    <row r="3">
      <c r="A3" s="1"/>
      <c r="B3" s="5" t="s">
        <v>1</v>
      </c>
      <c r="C3" s="5" t="s">
        <v>11</v>
      </c>
      <c r="D3" s="5" t="s">
        <v>13</v>
      </c>
      <c r="E3" s="5" t="s">
        <v>16</v>
      </c>
      <c r="F3" s="5" t="s">
        <v>18</v>
      </c>
      <c r="G3" s="1"/>
      <c r="H3" s="5" t="s">
        <v>20</v>
      </c>
      <c r="I3" s="5" t="s">
        <v>22</v>
      </c>
      <c r="J3" s="5" t="s">
        <v>24</v>
      </c>
      <c r="K3" s="5" t="s">
        <v>26</v>
      </c>
      <c r="L3" s="5" t="s">
        <v>28</v>
      </c>
      <c r="M3" s="5" t="s">
        <v>30</v>
      </c>
      <c r="N3" s="11" t="s">
        <v>32</v>
      </c>
      <c r="O3" s="11" t="s">
        <v>36</v>
      </c>
      <c r="P3" s="11" t="s">
        <v>37</v>
      </c>
      <c r="Q3" s="1"/>
      <c r="R3" s="1"/>
      <c r="S3" s="1"/>
      <c r="T3" s="1"/>
      <c r="U3" s="1"/>
      <c r="V3" s="1"/>
      <c r="W3" s="1"/>
      <c r="X3" s="1"/>
    </row>
    <row r="4">
      <c r="A4" s="1"/>
      <c r="B4" s="6">
        <v>1.0</v>
      </c>
      <c r="C4" s="6">
        <v>5.0</v>
      </c>
      <c r="D4" s="18">
        <f>C4</f>
        <v>5</v>
      </c>
      <c r="E4" s="18">
        <f t="shared" ref="E4:E13" si="1">D4/$C$19</f>
        <v>0.04166666667</v>
      </c>
      <c r="F4" s="18">
        <f t="shared" ref="F4:F13" si="2">E4/$C$20</f>
        <v>0.08333333333</v>
      </c>
      <c r="G4" s="1"/>
      <c r="H4" s="6" t="s">
        <v>45</v>
      </c>
      <c r="I4" s="6">
        <f>C21</f>
        <v>1</v>
      </c>
      <c r="J4" s="18">
        <f>C23</f>
        <v>1</v>
      </c>
      <c r="K4" s="18">
        <f>ROUNDUP(100/C28/60/60*C27,3)</f>
        <v>0.007</v>
      </c>
      <c r="L4" s="7">
        <v>1.0</v>
      </c>
      <c r="M4" s="26">
        <f t="shared" ref="M4:M9" si="4">I4*$C$24*L4</f>
        <v>3</v>
      </c>
      <c r="N4" s="26">
        <f t="shared" ref="N4:N9" si="5">M4*$C$26</f>
        <v>1.5</v>
      </c>
      <c r="O4" s="26">
        <f t="shared" ref="O4:O9" si="6">($C$25/$C$24)*(M4-N4)</f>
        <v>30</v>
      </c>
      <c r="P4" s="26">
        <f t="shared" ref="P4:P9" si="7">($C$22+K4*$C$25)/($C$25/$C$24)+J4*$C$24</f>
        <v>8.021</v>
      </c>
      <c r="Q4" s="1"/>
      <c r="R4" s="1"/>
      <c r="S4" s="1"/>
      <c r="T4" s="1"/>
      <c r="U4" s="1"/>
      <c r="V4" s="1"/>
      <c r="W4" s="1"/>
      <c r="X4" s="1"/>
    </row>
    <row r="5">
      <c r="A5" s="1"/>
      <c r="B5" s="6">
        <v>2.0</v>
      </c>
      <c r="C5" s="6">
        <f>C4*2</f>
        <v>10</v>
      </c>
      <c r="D5" s="18">
        <f t="shared" ref="D5:D13" si="8">SUM($C$4:C5)</f>
        <v>15</v>
      </c>
      <c r="E5" s="18">
        <f t="shared" si="1"/>
        <v>0.125</v>
      </c>
      <c r="F5" s="18">
        <f t="shared" si="2"/>
        <v>0.25</v>
      </c>
      <c r="G5" s="1"/>
      <c r="H5" s="6" t="s">
        <v>81</v>
      </c>
      <c r="I5" s="6">
        <f t="shared" ref="I5:K5" si="3">I4*2</f>
        <v>2</v>
      </c>
      <c r="J5" s="6">
        <f t="shared" si="3"/>
        <v>2</v>
      </c>
      <c r="K5" s="6">
        <f t="shared" si="3"/>
        <v>0.014</v>
      </c>
      <c r="L5" s="7">
        <v>2.0</v>
      </c>
      <c r="M5" s="26">
        <f t="shared" si="4"/>
        <v>12</v>
      </c>
      <c r="N5" s="26">
        <f t="shared" si="5"/>
        <v>6</v>
      </c>
      <c r="O5" s="26">
        <f t="shared" si="6"/>
        <v>120</v>
      </c>
      <c r="P5" s="26">
        <f t="shared" si="7"/>
        <v>11.042</v>
      </c>
      <c r="Q5" s="1"/>
      <c r="R5" s="1"/>
      <c r="S5" s="1"/>
      <c r="T5" s="1"/>
      <c r="U5" s="1"/>
      <c r="V5" s="1"/>
      <c r="W5" s="1"/>
      <c r="X5" s="1"/>
    </row>
    <row r="6">
      <c r="A6" s="1"/>
      <c r="B6" s="6">
        <v>3.0</v>
      </c>
      <c r="C6" s="18">
        <f t="shared" ref="C6:C13" si="10">SUM($C$4:C5)</f>
        <v>15</v>
      </c>
      <c r="D6" s="18">
        <f t="shared" si="8"/>
        <v>30</v>
      </c>
      <c r="E6" s="18">
        <f t="shared" si="1"/>
        <v>0.25</v>
      </c>
      <c r="F6" s="18">
        <f t="shared" si="2"/>
        <v>0.5</v>
      </c>
      <c r="G6" s="1"/>
      <c r="H6" s="6" t="s">
        <v>94</v>
      </c>
      <c r="I6" s="6">
        <f t="shared" ref="I6:K6" si="9">I5*2</f>
        <v>4</v>
      </c>
      <c r="J6" s="6">
        <f t="shared" si="9"/>
        <v>4</v>
      </c>
      <c r="K6" s="6">
        <f t="shared" si="9"/>
        <v>0.028</v>
      </c>
      <c r="L6" s="7">
        <v>3.0</v>
      </c>
      <c r="M6" s="26">
        <f t="shared" si="4"/>
        <v>36</v>
      </c>
      <c r="N6" s="26">
        <f t="shared" si="5"/>
        <v>18</v>
      </c>
      <c r="O6" s="26">
        <f t="shared" si="6"/>
        <v>360</v>
      </c>
      <c r="P6" s="26">
        <f t="shared" si="7"/>
        <v>17.084</v>
      </c>
      <c r="Q6" s="1"/>
      <c r="R6" s="1"/>
      <c r="S6" s="1"/>
      <c r="T6" s="1"/>
      <c r="U6" s="1"/>
      <c r="V6" s="1"/>
      <c r="W6" s="1"/>
      <c r="X6" s="1"/>
    </row>
    <row r="7">
      <c r="A7" s="1"/>
      <c r="B7" s="6">
        <v>4.0</v>
      </c>
      <c r="C7" s="18">
        <f t="shared" si="10"/>
        <v>30</v>
      </c>
      <c r="D7" s="18">
        <f t="shared" si="8"/>
        <v>60</v>
      </c>
      <c r="E7" s="18">
        <f t="shared" si="1"/>
        <v>0.5</v>
      </c>
      <c r="F7" s="18">
        <f t="shared" si="2"/>
        <v>1</v>
      </c>
      <c r="G7" s="1"/>
      <c r="H7" s="6" t="s">
        <v>102</v>
      </c>
      <c r="I7" s="6">
        <f t="shared" ref="I7:K7" si="11">I6*2</f>
        <v>8</v>
      </c>
      <c r="J7" s="6">
        <f t="shared" si="11"/>
        <v>8</v>
      </c>
      <c r="K7" s="6">
        <f t="shared" si="11"/>
        <v>0.056</v>
      </c>
      <c r="L7" s="7">
        <v>4.0</v>
      </c>
      <c r="M7" s="26">
        <f t="shared" si="4"/>
        <v>96</v>
      </c>
      <c r="N7" s="26">
        <f t="shared" si="5"/>
        <v>48</v>
      </c>
      <c r="O7" s="26">
        <f t="shared" si="6"/>
        <v>960</v>
      </c>
      <c r="P7" s="26">
        <f t="shared" si="7"/>
        <v>29.168</v>
      </c>
      <c r="Q7" s="1"/>
      <c r="R7" s="1"/>
      <c r="S7" s="1"/>
      <c r="T7" s="1"/>
      <c r="U7" s="1"/>
      <c r="V7" s="1"/>
      <c r="W7" s="1"/>
      <c r="X7" s="1"/>
    </row>
    <row r="8">
      <c r="A8" s="1"/>
      <c r="B8" s="6">
        <v>5.0</v>
      </c>
      <c r="C8" s="18">
        <f t="shared" si="10"/>
        <v>60</v>
      </c>
      <c r="D8" s="18">
        <f t="shared" si="8"/>
        <v>120</v>
      </c>
      <c r="E8" s="18">
        <f t="shared" si="1"/>
        <v>1</v>
      </c>
      <c r="F8" s="18">
        <f t="shared" si="2"/>
        <v>2</v>
      </c>
      <c r="G8" s="1"/>
      <c r="H8" s="6" t="s">
        <v>113</v>
      </c>
      <c r="I8" s="6">
        <f t="shared" ref="I8:K8" si="12">I7*2</f>
        <v>16</v>
      </c>
      <c r="J8" s="6">
        <f t="shared" si="12"/>
        <v>16</v>
      </c>
      <c r="K8" s="6">
        <f t="shared" si="12"/>
        <v>0.112</v>
      </c>
      <c r="L8" s="7">
        <v>5.0</v>
      </c>
      <c r="M8" s="26">
        <f t="shared" si="4"/>
        <v>240</v>
      </c>
      <c r="N8" s="26">
        <f t="shared" si="5"/>
        <v>120</v>
      </c>
      <c r="O8" s="26">
        <f t="shared" si="6"/>
        <v>2400</v>
      </c>
      <c r="P8" s="26">
        <f t="shared" si="7"/>
        <v>53.336</v>
      </c>
      <c r="Q8" s="1"/>
      <c r="R8" s="1"/>
      <c r="S8" s="1"/>
      <c r="T8" s="1"/>
      <c r="U8" s="1"/>
      <c r="V8" s="1"/>
      <c r="W8" s="1"/>
      <c r="X8" s="1"/>
    </row>
    <row r="9">
      <c r="A9" s="1"/>
      <c r="B9" s="6">
        <v>6.0</v>
      </c>
      <c r="C9" s="18">
        <f t="shared" si="10"/>
        <v>120</v>
      </c>
      <c r="D9" s="18">
        <f t="shared" si="8"/>
        <v>240</v>
      </c>
      <c r="E9" s="18">
        <f t="shared" si="1"/>
        <v>2</v>
      </c>
      <c r="F9" s="18">
        <f t="shared" si="2"/>
        <v>4</v>
      </c>
      <c r="G9" s="1"/>
      <c r="H9" s="6" t="s">
        <v>126</v>
      </c>
      <c r="I9" s="6">
        <f t="shared" ref="I9:K9" si="13">I8*2</f>
        <v>32</v>
      </c>
      <c r="J9" s="6">
        <f t="shared" si="13"/>
        <v>32</v>
      </c>
      <c r="K9" s="6">
        <f t="shared" si="13"/>
        <v>0.224</v>
      </c>
      <c r="L9" s="7">
        <v>6.0</v>
      </c>
      <c r="M9" s="26">
        <f t="shared" si="4"/>
        <v>576</v>
      </c>
      <c r="N9" s="26">
        <f t="shared" si="5"/>
        <v>288</v>
      </c>
      <c r="O9" s="26">
        <f t="shared" si="6"/>
        <v>5760</v>
      </c>
      <c r="P9" s="26">
        <f t="shared" si="7"/>
        <v>101.672</v>
      </c>
      <c r="Q9" s="1"/>
      <c r="R9" s="1"/>
      <c r="S9" s="1"/>
      <c r="T9" s="1"/>
      <c r="U9" s="1"/>
      <c r="V9" s="1"/>
      <c r="W9" s="1"/>
      <c r="X9" s="1"/>
    </row>
    <row r="10">
      <c r="A10" s="1"/>
      <c r="B10" s="6">
        <v>7.0</v>
      </c>
      <c r="C10" s="18">
        <f t="shared" si="10"/>
        <v>240</v>
      </c>
      <c r="D10" s="18">
        <f t="shared" si="8"/>
        <v>480</v>
      </c>
      <c r="E10" s="18">
        <f t="shared" si="1"/>
        <v>4</v>
      </c>
      <c r="F10" s="18">
        <f t="shared" si="2"/>
        <v>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6">
        <v>8.0</v>
      </c>
      <c r="C11" s="18">
        <f t="shared" si="10"/>
        <v>480</v>
      </c>
      <c r="D11" s="18">
        <f t="shared" si="8"/>
        <v>960</v>
      </c>
      <c r="E11" s="18">
        <f t="shared" si="1"/>
        <v>8</v>
      </c>
      <c r="F11" s="18">
        <f t="shared" si="2"/>
        <v>16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6">
        <v>9.0</v>
      </c>
      <c r="C12" s="18">
        <f t="shared" si="10"/>
        <v>960</v>
      </c>
      <c r="D12" s="18">
        <f t="shared" si="8"/>
        <v>1920</v>
      </c>
      <c r="E12" s="18">
        <f t="shared" si="1"/>
        <v>16</v>
      </c>
      <c r="F12" s="18">
        <f t="shared" si="2"/>
        <v>32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6">
        <v>10.0</v>
      </c>
      <c r="C13" s="18">
        <f t="shared" si="10"/>
        <v>1920</v>
      </c>
      <c r="D13" s="18">
        <f t="shared" si="8"/>
        <v>3840</v>
      </c>
      <c r="E13" s="18">
        <f t="shared" si="1"/>
        <v>32</v>
      </c>
      <c r="F13" s="18">
        <f t="shared" si="2"/>
        <v>64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5" t="s">
        <v>149</v>
      </c>
      <c r="C17" s="5" t="s">
        <v>23</v>
      </c>
      <c r="D17" s="1"/>
      <c r="E17" s="36" t="s">
        <v>153</v>
      </c>
      <c r="F17" s="4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6" t="s">
        <v>154</v>
      </c>
      <c r="C18" s="6">
        <v>5.0</v>
      </c>
      <c r="D18" s="1"/>
      <c r="E18" s="6" t="s">
        <v>155</v>
      </c>
      <c r="F18" s="6" t="s">
        <v>156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6" t="s">
        <v>161</v>
      </c>
      <c r="C19" s="6">
        <v>120.0</v>
      </c>
      <c r="D19" s="1"/>
      <c r="E19" s="6" t="s">
        <v>162</v>
      </c>
      <c r="F19" s="6" t="s">
        <v>163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6" t="s">
        <v>165</v>
      </c>
      <c r="C20" s="6">
        <v>0.5</v>
      </c>
      <c r="D20" s="1"/>
      <c r="E20" s="6" t="s">
        <v>166</v>
      </c>
      <c r="F20" s="6" t="s">
        <v>168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6" t="s">
        <v>169</v>
      </c>
      <c r="C21" s="6">
        <v>1.0</v>
      </c>
      <c r="D21" s="1"/>
      <c r="E21" s="6" t="s">
        <v>170</v>
      </c>
      <c r="F21" s="6" t="s">
        <v>171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6" t="s">
        <v>175</v>
      </c>
      <c r="C22" s="6">
        <v>100.0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6" t="s">
        <v>178</v>
      </c>
      <c r="C23" s="6">
        <v>1.0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6" t="s">
        <v>182</v>
      </c>
      <c r="C24" s="6">
        <v>3.0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6" t="s">
        <v>186</v>
      </c>
      <c r="C25" s="6">
        <v>60.0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6" t="s">
        <v>187</v>
      </c>
      <c r="C26" s="7">
        <v>0.5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6" t="s">
        <v>188</v>
      </c>
      <c r="C27" s="6">
        <v>6.0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6" t="s">
        <v>190</v>
      </c>
      <c r="C28" s="6">
        <v>24.0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6" t="s">
        <v>193</v>
      </c>
      <c r="C29" s="6">
        <v>96.0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6" t="s">
        <v>196</v>
      </c>
      <c r="C30" s="6">
        <v>48.0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6" t="s">
        <v>197</v>
      </c>
      <c r="C31" s="6">
        <v>72.0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6" t="s">
        <v>198</v>
      </c>
      <c r="C32" s="6">
        <v>2.0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6" t="s">
        <v>201</v>
      </c>
      <c r="C33" s="6">
        <v>24.0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6" t="s">
        <v>206</v>
      </c>
      <c r="C34" s="6">
        <v>240.0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6" t="s">
        <v>208</v>
      </c>
      <c r="C35" s="6">
        <v>72.0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6" t="s">
        <v>211</v>
      </c>
      <c r="C36" s="6">
        <v>6.0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6" t="s">
        <v>218</v>
      </c>
      <c r="C37" s="6">
        <v>4.0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6" t="s">
        <v>220</v>
      </c>
      <c r="C38" s="6">
        <v>8.0</v>
      </c>
      <c r="D38" s="1"/>
      <c r="E38" s="42"/>
      <c r="F38" s="4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6" t="s">
        <v>221</v>
      </c>
      <c r="C39" s="6">
        <v>15.0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6" t="s">
        <v>227</v>
      </c>
      <c r="C40" s="6">
        <v>25.0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6" t="s">
        <v>228</v>
      </c>
      <c r="C41" s="6">
        <v>48.0</v>
      </c>
      <c r="D41" s="1"/>
      <c r="E41" s="4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6" t="s">
        <v>229</v>
      </c>
      <c r="C42" s="6">
        <v>1.0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6" t="s">
        <v>232</v>
      </c>
      <c r="C43" s="6">
        <v>8.0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6" t="s">
        <v>234</v>
      </c>
      <c r="C44" s="6">
        <f>5*24</f>
        <v>120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6" t="s">
        <v>237</v>
      </c>
      <c r="C45" s="6">
        <v>48.0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mergeCells count="3">
    <mergeCell ref="B2:F2"/>
    <mergeCell ref="H2:P2"/>
    <mergeCell ref="E17:F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53.25"/>
    <col customWidth="1" min="4" max="4" width="22.5"/>
    <col customWidth="1" min="5" max="10" width="21.25"/>
    <col customWidth="1" min="13" max="13" width="56.75"/>
    <col customWidth="1" min="15" max="15" width="16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8" t="s">
        <v>5</v>
      </c>
      <c r="B3" s="1"/>
      <c r="C3" s="9" t="s">
        <v>7</v>
      </c>
      <c r="D3" s="9" t="s">
        <v>8</v>
      </c>
      <c r="E3" s="9" t="s">
        <v>9</v>
      </c>
      <c r="F3" s="9" t="s">
        <v>10</v>
      </c>
      <c r="G3" s="9" t="s">
        <v>14</v>
      </c>
      <c r="H3" s="9" t="s">
        <v>15</v>
      </c>
      <c r="I3" s="9" t="s">
        <v>17</v>
      </c>
      <c r="J3" s="9" t="s">
        <v>19</v>
      </c>
      <c r="K3" s="1"/>
      <c r="L3" s="1"/>
      <c r="M3" s="9" t="s">
        <v>21</v>
      </c>
      <c r="N3" s="9" t="s">
        <v>23</v>
      </c>
      <c r="O3" s="9" t="s">
        <v>25</v>
      </c>
      <c r="P3" s="9" t="s">
        <v>27</v>
      </c>
      <c r="Q3" s="9"/>
      <c r="R3" s="1"/>
      <c r="S3" s="1"/>
      <c r="T3" s="1"/>
      <c r="U3" s="1"/>
      <c r="V3" s="1"/>
      <c r="W3" s="1"/>
      <c r="X3" s="1"/>
      <c r="Y3" s="1"/>
      <c r="Z3" s="1"/>
    </row>
    <row r="4">
      <c r="A4" s="10" t="s">
        <v>31</v>
      </c>
      <c r="B4" s="1"/>
      <c r="C4" s="6" t="s">
        <v>33</v>
      </c>
      <c r="D4" s="8" t="s">
        <v>34</v>
      </c>
      <c r="E4" s="10" t="s">
        <v>35</v>
      </c>
      <c r="F4" s="12"/>
      <c r="G4" s="13" t="s">
        <v>38</v>
      </c>
      <c r="H4" s="14" t="s">
        <v>39</v>
      </c>
      <c r="I4" s="15" t="s">
        <v>41</v>
      </c>
      <c r="J4" s="17" t="s">
        <v>42</v>
      </c>
      <c r="K4" s="1"/>
      <c r="L4" s="1"/>
      <c r="M4" s="6" t="s">
        <v>44</v>
      </c>
      <c r="N4" s="18">
        <f>ROUNDUP(100/'Базовые таблицы'!C28,0)</f>
        <v>5</v>
      </c>
      <c r="O4" s="6" t="s">
        <v>46</v>
      </c>
      <c r="P4" s="20">
        <f t="shared" ref="P4:P12" si="1">N4/$N$32/2</f>
        <v>0.004166666667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2" t="s">
        <v>49</v>
      </c>
      <c r="B5" s="1"/>
      <c r="C5" s="6" t="s">
        <v>50</v>
      </c>
      <c r="D5" s="8" t="s">
        <v>51</v>
      </c>
      <c r="E5" s="10" t="s">
        <v>34</v>
      </c>
      <c r="F5" s="22" t="s">
        <v>35</v>
      </c>
      <c r="G5" s="24"/>
      <c r="H5" s="14" t="s">
        <v>53</v>
      </c>
      <c r="I5" s="15" t="s">
        <v>54</v>
      </c>
      <c r="J5" s="17" t="s">
        <v>56</v>
      </c>
      <c r="K5" s="1"/>
      <c r="L5" s="1"/>
      <c r="M5" s="6" t="s">
        <v>57</v>
      </c>
      <c r="N5" s="18">
        <f>ROUNDUP(100/'Базовые таблицы'!C29,0)</f>
        <v>2</v>
      </c>
      <c r="O5" s="6" t="s">
        <v>60</v>
      </c>
      <c r="P5" s="20">
        <f t="shared" si="1"/>
        <v>0.001666666667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3" t="s">
        <v>61</v>
      </c>
      <c r="B6" s="1"/>
      <c r="C6" s="6" t="s">
        <v>62</v>
      </c>
      <c r="D6" s="8" t="s">
        <v>51</v>
      </c>
      <c r="E6" s="10" t="s">
        <v>63</v>
      </c>
      <c r="F6" s="22" t="s">
        <v>34</v>
      </c>
      <c r="G6" s="24"/>
      <c r="H6" s="14" t="s">
        <v>53</v>
      </c>
      <c r="I6" s="15" t="s">
        <v>64</v>
      </c>
      <c r="J6" s="17" t="s">
        <v>65</v>
      </c>
      <c r="K6" s="1"/>
      <c r="L6" s="1"/>
      <c r="M6" s="6" t="s">
        <v>66</v>
      </c>
      <c r="N6" s="18">
        <f>ROUNDUP(100/'Базовые таблицы'!C30,1)</f>
        <v>2.1</v>
      </c>
      <c r="O6" s="6" t="s">
        <v>60</v>
      </c>
      <c r="P6" s="20">
        <f t="shared" si="1"/>
        <v>0.00175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4" t="s">
        <v>69</v>
      </c>
      <c r="B7" s="1"/>
      <c r="C7" s="6" t="s">
        <v>70</v>
      </c>
      <c r="D7" s="8" t="s">
        <v>71</v>
      </c>
      <c r="E7" s="10" t="s">
        <v>72</v>
      </c>
      <c r="F7" s="12"/>
      <c r="G7" s="13" t="s">
        <v>73</v>
      </c>
      <c r="H7" s="14" t="s">
        <v>74</v>
      </c>
      <c r="I7" s="15" t="s">
        <v>76</v>
      </c>
      <c r="J7" s="17" t="s">
        <v>77</v>
      </c>
      <c r="K7" s="1"/>
      <c r="L7" s="1"/>
      <c r="M7" s="6" t="s">
        <v>78</v>
      </c>
      <c r="N7" s="18">
        <f>ROUNDUP(100/'Базовые таблицы'!C31,1)</f>
        <v>1.4</v>
      </c>
      <c r="O7" s="6" t="s">
        <v>46</v>
      </c>
      <c r="P7" s="20">
        <f t="shared" si="1"/>
        <v>0.001166666667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5" t="s">
        <v>82</v>
      </c>
      <c r="B8" s="1"/>
      <c r="C8" s="6" t="s">
        <v>83</v>
      </c>
      <c r="D8" s="17" t="s">
        <v>84</v>
      </c>
      <c r="E8" s="15" t="s">
        <v>85</v>
      </c>
      <c r="F8" s="14" t="s">
        <v>53</v>
      </c>
      <c r="G8" s="24"/>
      <c r="H8" s="12"/>
      <c r="I8" s="30"/>
      <c r="J8" s="8" t="s">
        <v>35</v>
      </c>
      <c r="K8" s="1"/>
      <c r="L8" s="1"/>
      <c r="M8" s="6" t="s">
        <v>86</v>
      </c>
      <c r="N8" s="18">
        <f>ROUNDUP(100/'Базовые таблицы'!C32,1)</f>
        <v>50</v>
      </c>
      <c r="O8" s="6" t="s">
        <v>46</v>
      </c>
      <c r="P8" s="20">
        <f t="shared" si="1"/>
        <v>0.04166666667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7" t="s">
        <v>89</v>
      </c>
      <c r="B9" s="1"/>
      <c r="C9" s="6" t="s">
        <v>90</v>
      </c>
      <c r="D9" s="17" t="s">
        <v>91</v>
      </c>
      <c r="E9" s="15" t="s">
        <v>92</v>
      </c>
      <c r="F9" s="14" t="s">
        <v>53</v>
      </c>
      <c r="G9" s="24"/>
      <c r="H9" s="12"/>
      <c r="I9" s="30"/>
      <c r="J9" s="8" t="s">
        <v>35</v>
      </c>
      <c r="K9" s="1"/>
      <c r="L9" s="1"/>
      <c r="M9" s="6" t="s">
        <v>93</v>
      </c>
      <c r="N9" s="18">
        <f>ROUNDUP(100/'Базовые таблицы'!C33,1)</f>
        <v>4.2</v>
      </c>
      <c r="O9" s="6" t="s">
        <v>46</v>
      </c>
      <c r="P9" s="20">
        <f t="shared" si="1"/>
        <v>0.0035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6" t="s">
        <v>95</v>
      </c>
      <c r="D10" s="8" t="s">
        <v>96</v>
      </c>
      <c r="E10" s="10" t="s">
        <v>97</v>
      </c>
      <c r="F10" s="12"/>
      <c r="G10" s="24"/>
      <c r="H10" s="14" t="s">
        <v>38</v>
      </c>
      <c r="I10" s="15" t="s">
        <v>98</v>
      </c>
      <c r="J10" s="17" t="s">
        <v>99</v>
      </c>
      <c r="K10" s="1"/>
      <c r="L10" s="1"/>
      <c r="M10" s="6" t="s">
        <v>101</v>
      </c>
      <c r="N10" s="18">
        <f>ROUNDUP(100/'Базовые таблицы'!C34,1)</f>
        <v>0.5</v>
      </c>
      <c r="O10" s="6" t="s">
        <v>46</v>
      </c>
      <c r="P10" s="20">
        <f t="shared" si="1"/>
        <v>0.0004166666667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6" t="s">
        <v>104</v>
      </c>
      <c r="D11" s="17" t="s">
        <v>105</v>
      </c>
      <c r="E11" s="15" t="s">
        <v>106</v>
      </c>
      <c r="F11" s="14" t="s">
        <v>107</v>
      </c>
      <c r="G11" s="13" t="s">
        <v>108</v>
      </c>
      <c r="H11" s="22" t="s">
        <v>53</v>
      </c>
      <c r="I11" s="30"/>
      <c r="J11" s="31"/>
      <c r="K11" s="1"/>
      <c r="L11" s="1"/>
      <c r="M11" s="6"/>
      <c r="N11" s="18"/>
      <c r="O11" s="6"/>
      <c r="P11" s="20">
        <f t="shared" si="1"/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6" t="s">
        <v>111</v>
      </c>
      <c r="D12" s="17" t="s">
        <v>114</v>
      </c>
      <c r="E12" s="15" t="s">
        <v>116</v>
      </c>
      <c r="F12" s="14" t="s">
        <v>64</v>
      </c>
      <c r="G12" s="13" t="s">
        <v>119</v>
      </c>
      <c r="H12" s="22" t="s">
        <v>53</v>
      </c>
      <c r="I12" s="30"/>
      <c r="J12" s="31"/>
      <c r="K12" s="1"/>
      <c r="L12" s="1"/>
      <c r="M12" s="6" t="s">
        <v>120</v>
      </c>
      <c r="N12" s="18">
        <f>ROUNDUP(100/'Базовые таблицы'!C36,1)</f>
        <v>16.7</v>
      </c>
      <c r="O12" s="6" t="s">
        <v>46</v>
      </c>
      <c r="P12" s="20">
        <f t="shared" si="1"/>
        <v>0.01391666667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6" t="s">
        <v>122</v>
      </c>
      <c r="D13" s="17" t="s">
        <v>123</v>
      </c>
      <c r="E13" s="15" t="s">
        <v>124</v>
      </c>
      <c r="F13" s="14" t="s">
        <v>125</v>
      </c>
      <c r="G13" s="13" t="s">
        <v>119</v>
      </c>
      <c r="H13" s="22" t="s">
        <v>53</v>
      </c>
      <c r="I13" s="30"/>
      <c r="J13" s="31"/>
      <c r="K13" s="1"/>
      <c r="L13" s="1"/>
      <c r="M13" s="6" t="s">
        <v>127</v>
      </c>
      <c r="N13" s="7">
        <f>10%</f>
        <v>0.1</v>
      </c>
      <c r="O13" s="6" t="s">
        <v>128</v>
      </c>
      <c r="P13" s="20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K14" s="1"/>
      <c r="L14" s="1"/>
      <c r="M14" s="6" t="s">
        <v>130</v>
      </c>
      <c r="N14" s="7">
        <v>-0.1</v>
      </c>
      <c r="O14" s="6" t="s">
        <v>128</v>
      </c>
      <c r="P14" s="2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K15" s="1">
        <f>0.01*60*15</f>
        <v>9</v>
      </c>
      <c r="L15" s="1"/>
      <c r="M15" s="6" t="s">
        <v>132</v>
      </c>
      <c r="N15" s="7">
        <f>10%</f>
        <v>0.1</v>
      </c>
      <c r="O15" s="6" t="s">
        <v>128</v>
      </c>
      <c r="P15" s="20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6" t="s">
        <v>133</v>
      </c>
      <c r="N16" s="7">
        <v>-0.1</v>
      </c>
      <c r="O16" s="6" t="s">
        <v>128</v>
      </c>
      <c r="P16" s="20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36" t="s">
        <v>135</v>
      </c>
      <c r="D17" s="3"/>
      <c r="E17" s="3"/>
      <c r="F17" s="3"/>
      <c r="G17" s="3"/>
      <c r="H17" s="3"/>
      <c r="I17" s="4"/>
      <c r="J17" s="1"/>
      <c r="K17" s="1"/>
      <c r="L17" s="1"/>
      <c r="M17" s="6" t="s">
        <v>137</v>
      </c>
      <c r="N17" s="7">
        <v>5.0</v>
      </c>
      <c r="O17" s="6" t="s">
        <v>138</v>
      </c>
      <c r="P17" s="20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9" t="s">
        <v>7</v>
      </c>
      <c r="D18" s="9" t="s">
        <v>139</v>
      </c>
      <c r="E18" s="9" t="s">
        <v>140</v>
      </c>
      <c r="F18" s="9" t="s">
        <v>141</v>
      </c>
      <c r="G18" s="9" t="s">
        <v>142</v>
      </c>
      <c r="H18" s="9" t="s">
        <v>143</v>
      </c>
      <c r="I18" s="9" t="s">
        <v>144</v>
      </c>
      <c r="J18" s="1"/>
      <c r="K18" s="1"/>
      <c r="L18" s="1"/>
      <c r="M18" s="6" t="s">
        <v>145</v>
      </c>
      <c r="N18" s="7">
        <v>0.01</v>
      </c>
      <c r="O18" s="6" t="s">
        <v>138</v>
      </c>
      <c r="P18" s="20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6" t="s">
        <v>33</v>
      </c>
      <c r="D19" s="6" t="s">
        <v>147</v>
      </c>
      <c r="E19" s="6" t="s">
        <v>148</v>
      </c>
      <c r="F19" s="18"/>
      <c r="G19" s="6" t="s">
        <v>150</v>
      </c>
      <c r="H19" s="6"/>
      <c r="I19" s="6" t="s">
        <v>151</v>
      </c>
      <c r="J19" s="1"/>
      <c r="K19" s="1"/>
      <c r="L19" s="1"/>
      <c r="M19" s="6" t="s">
        <v>152</v>
      </c>
      <c r="N19" s="7">
        <f>200%</f>
        <v>2</v>
      </c>
      <c r="O19" s="6" t="s">
        <v>138</v>
      </c>
      <c r="P19" s="20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6" t="s">
        <v>50</v>
      </c>
      <c r="D20" s="6" t="s">
        <v>157</v>
      </c>
      <c r="E20" s="6" t="s">
        <v>158</v>
      </c>
      <c r="F20" s="6"/>
      <c r="G20" s="6" t="s">
        <v>159</v>
      </c>
      <c r="H20" s="18"/>
      <c r="I20" s="18"/>
      <c r="J20" s="1"/>
      <c r="K20" s="1"/>
      <c r="L20" s="1"/>
      <c r="M20" s="6" t="s">
        <v>160</v>
      </c>
      <c r="N20" s="7">
        <v>0.1</v>
      </c>
      <c r="O20" s="6" t="s">
        <v>138</v>
      </c>
      <c r="P20" s="20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6" t="s">
        <v>62</v>
      </c>
      <c r="D21" s="6" t="s">
        <v>164</v>
      </c>
      <c r="E21" s="6" t="s">
        <v>158</v>
      </c>
      <c r="F21" s="6"/>
      <c r="G21" s="6" t="s">
        <v>159</v>
      </c>
      <c r="H21" s="18"/>
      <c r="I21" s="18"/>
      <c r="J21" s="1"/>
      <c r="K21" s="1"/>
      <c r="L21" s="1"/>
      <c r="M21" s="6" t="s">
        <v>167</v>
      </c>
      <c r="N21" s="7">
        <f>5%</f>
        <v>0.05</v>
      </c>
      <c r="O21" s="6" t="s">
        <v>128</v>
      </c>
      <c r="P21" s="20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6" t="s">
        <v>70</v>
      </c>
      <c r="D22" s="6" t="s">
        <v>172</v>
      </c>
      <c r="E22" s="6" t="s">
        <v>173</v>
      </c>
      <c r="F22" s="6" t="s">
        <v>159</v>
      </c>
      <c r="G22" s="6" t="s">
        <v>174</v>
      </c>
      <c r="H22" s="18"/>
      <c r="I22" s="6" t="s">
        <v>176</v>
      </c>
      <c r="J22" s="1"/>
      <c r="K22" s="1"/>
      <c r="L22" s="1"/>
      <c r="M22" s="6" t="s">
        <v>177</v>
      </c>
      <c r="N22" s="7">
        <v>-0.05</v>
      </c>
      <c r="O22" s="6" t="s">
        <v>128</v>
      </c>
      <c r="P22" s="20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6" t="s">
        <v>83</v>
      </c>
      <c r="D23" s="6" t="s">
        <v>179</v>
      </c>
      <c r="E23" s="6" t="s">
        <v>180</v>
      </c>
      <c r="F23" s="38" t="s">
        <v>181</v>
      </c>
      <c r="G23" s="39"/>
      <c r="H23" s="6" t="s">
        <v>183</v>
      </c>
      <c r="I23" s="6" t="s">
        <v>184</v>
      </c>
      <c r="J23" s="1"/>
      <c r="K23" s="1"/>
      <c r="L23" s="1"/>
      <c r="M23" s="6" t="s">
        <v>185</v>
      </c>
      <c r="N23" s="7">
        <f>150%</f>
        <v>1.5</v>
      </c>
      <c r="O23" s="6" t="s">
        <v>138</v>
      </c>
      <c r="P23" s="20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6" t="s">
        <v>90</v>
      </c>
      <c r="D24" s="6" t="s">
        <v>180</v>
      </c>
      <c r="E24" s="6" t="s">
        <v>179</v>
      </c>
      <c r="F24" s="40"/>
      <c r="G24" s="41"/>
      <c r="H24" s="6" t="s">
        <v>184</v>
      </c>
      <c r="I24" s="6" t="s">
        <v>183</v>
      </c>
      <c r="J24" s="1"/>
      <c r="K24" s="1"/>
      <c r="L24" s="1"/>
      <c r="M24" s="6" t="s">
        <v>189</v>
      </c>
      <c r="N24" s="7">
        <v>0.5</v>
      </c>
      <c r="O24" s="6" t="s">
        <v>138</v>
      </c>
      <c r="P24" s="20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6" t="s">
        <v>95</v>
      </c>
      <c r="D25" s="6" t="s">
        <v>191</v>
      </c>
      <c r="E25" s="6" t="s">
        <v>192</v>
      </c>
      <c r="F25" s="18"/>
      <c r="G25" s="18"/>
      <c r="H25" s="18"/>
      <c r="I25" s="6" t="s">
        <v>194</v>
      </c>
      <c r="J25" s="1"/>
      <c r="K25" s="1"/>
      <c r="L25" s="1"/>
      <c r="M25" s="6" t="s">
        <v>195</v>
      </c>
      <c r="N25" s="18">
        <f>ROUNDUP(100/'Базовые таблицы'!C38,1)</f>
        <v>12.5</v>
      </c>
      <c r="O25" s="6" t="s">
        <v>60</v>
      </c>
      <c r="P25" s="20">
        <f t="shared" ref="P25:P28" si="2">N25/$N$32/2</f>
        <v>0.01041666667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6" t="s">
        <v>104</v>
      </c>
      <c r="D26" s="6" t="s">
        <v>199</v>
      </c>
      <c r="E26" s="6" t="s">
        <v>200</v>
      </c>
      <c r="F26" s="6" t="s">
        <v>202</v>
      </c>
      <c r="G26" s="6"/>
      <c r="H26" s="6" t="s">
        <v>203</v>
      </c>
      <c r="I26" s="6"/>
      <c r="J26" s="1"/>
      <c r="K26" s="1"/>
      <c r="L26" s="1"/>
      <c r="M26" s="35" t="s">
        <v>204</v>
      </c>
      <c r="N26" s="18">
        <f>ROUNDUP(100/'Базовые таблицы'!C37,1)</f>
        <v>25</v>
      </c>
      <c r="O26" s="6" t="s">
        <v>60</v>
      </c>
      <c r="P26" s="20">
        <f t="shared" si="2"/>
        <v>0.02083333333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6" t="s">
        <v>111</v>
      </c>
      <c r="D27" s="6" t="s">
        <v>199</v>
      </c>
      <c r="E27" s="6" t="s">
        <v>213</v>
      </c>
      <c r="F27" s="6" t="s">
        <v>215</v>
      </c>
      <c r="G27" s="6"/>
      <c r="H27" s="6" t="s">
        <v>203</v>
      </c>
      <c r="I27" s="6"/>
      <c r="J27" s="1"/>
      <c r="K27" s="1"/>
      <c r="L27" s="42"/>
      <c r="M27" s="6" t="s">
        <v>219</v>
      </c>
      <c r="N27" s="18">
        <f>ROUNDUP(100/'Базовые таблицы'!C41,1)</f>
        <v>2.1</v>
      </c>
      <c r="O27" s="6" t="s">
        <v>2</v>
      </c>
      <c r="P27" s="20">
        <f t="shared" si="2"/>
        <v>0.00175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6" t="s">
        <v>122</v>
      </c>
      <c r="D28" s="6" t="s">
        <v>222</v>
      </c>
      <c r="E28" s="6" t="s">
        <v>223</v>
      </c>
      <c r="F28" s="6" t="s">
        <v>224</v>
      </c>
      <c r="G28" s="6"/>
      <c r="H28" s="6" t="s">
        <v>225</v>
      </c>
      <c r="I28" s="6"/>
      <c r="J28" s="1"/>
      <c r="K28" s="1"/>
      <c r="L28" s="1"/>
      <c r="M28" s="6" t="s">
        <v>226</v>
      </c>
      <c r="N28" s="18">
        <f>ROUNDUP(100/'Базовые таблицы'!C42,1)</f>
        <v>100</v>
      </c>
      <c r="O28" s="6" t="s">
        <v>138</v>
      </c>
      <c r="P28" s="20">
        <f t="shared" si="2"/>
        <v>0.08333333333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J29" s="1"/>
      <c r="K29" s="1"/>
      <c r="L29" s="1"/>
      <c r="M29" s="35" t="s">
        <v>230</v>
      </c>
      <c r="N29" s="35">
        <v>10.0</v>
      </c>
      <c r="O29" s="18"/>
      <c r="P29" s="20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F30" s="1"/>
      <c r="G30" s="1"/>
      <c r="H30" s="1"/>
      <c r="I30" s="1"/>
      <c r="J30" s="1"/>
      <c r="K30" s="1"/>
      <c r="L30" s="1"/>
      <c r="M30" s="35" t="s">
        <v>233</v>
      </c>
      <c r="N30" s="35">
        <v>25.0</v>
      </c>
      <c r="O30" s="18"/>
      <c r="P30" s="20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F31" s="1"/>
      <c r="G31" s="1"/>
      <c r="H31" s="1"/>
      <c r="I31" s="1"/>
      <c r="J31" s="1"/>
      <c r="K31" s="1"/>
      <c r="L31" s="1"/>
      <c r="M31" s="6" t="s">
        <v>235</v>
      </c>
      <c r="N31" s="6">
        <v>0.5</v>
      </c>
      <c r="O31" s="18"/>
      <c r="P31" s="20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44" t="s">
        <v>236</v>
      </c>
      <c r="D32" s="4"/>
      <c r="F32" s="1"/>
      <c r="G32" s="1"/>
      <c r="H32" s="1"/>
      <c r="I32" s="1"/>
      <c r="J32" s="1"/>
      <c r="K32" s="1"/>
      <c r="L32" s="1"/>
      <c r="M32" s="6" t="s">
        <v>238</v>
      </c>
      <c r="N32" s="6">
        <f>60*60/'Базовые таблицы'!C27</f>
        <v>600</v>
      </c>
      <c r="O32" s="18"/>
      <c r="P32" s="20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45" t="s">
        <v>239</v>
      </c>
      <c r="D33" s="45" t="s">
        <v>240</v>
      </c>
      <c r="F33" s="1"/>
      <c r="G33" s="1"/>
      <c r="H33" s="1"/>
      <c r="I33" s="1"/>
      <c r="J33" s="1"/>
      <c r="K33" s="1"/>
      <c r="L33" s="1"/>
      <c r="M33" s="6" t="s">
        <v>241</v>
      </c>
      <c r="N33" s="27">
        <f>ROUNDUP(N36/$N$32*'Базовые таблицы'!$C$24,2)</f>
        <v>0.32</v>
      </c>
      <c r="O33" s="6" t="s">
        <v>60</v>
      </c>
      <c r="P33" s="20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35" t="s">
        <v>242</v>
      </c>
      <c r="D34" s="35" t="s">
        <v>243</v>
      </c>
      <c r="F34" s="1"/>
      <c r="G34" s="1"/>
      <c r="H34" s="1"/>
      <c r="I34" s="1"/>
      <c r="J34" s="1"/>
      <c r="K34" s="1"/>
      <c r="L34" s="1"/>
      <c r="M34" s="6" t="s">
        <v>244</v>
      </c>
      <c r="N34" s="27">
        <f>ROUNDUP(N37/$N$32*'Базовые таблицы'!$C$24,2)</f>
        <v>0.63</v>
      </c>
      <c r="O34" s="6" t="s">
        <v>60</v>
      </c>
      <c r="P34" s="20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35" t="s">
        <v>230</v>
      </c>
      <c r="D35" s="35">
        <v>10.0</v>
      </c>
      <c r="F35" s="1"/>
      <c r="G35" s="1"/>
      <c r="H35" s="1"/>
      <c r="I35" s="1"/>
      <c r="J35" s="1"/>
      <c r="K35" s="1"/>
      <c r="L35" s="1"/>
      <c r="M35" s="6" t="s">
        <v>245</v>
      </c>
      <c r="N35" s="27">
        <f>ROUNDUP(N38/$N$32*'Базовые таблицы'!$C$24,2)</f>
        <v>0.94</v>
      </c>
      <c r="O35" s="6" t="s">
        <v>60</v>
      </c>
      <c r="P35" s="20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35" t="s">
        <v>233</v>
      </c>
      <c r="D36" s="35">
        <v>25.0</v>
      </c>
      <c r="F36" s="1"/>
      <c r="G36" s="1"/>
      <c r="H36" s="1"/>
      <c r="I36" s="1"/>
      <c r="J36" s="1"/>
      <c r="K36" s="1"/>
      <c r="L36" s="1"/>
      <c r="M36" s="6" t="s">
        <v>246</v>
      </c>
      <c r="N36" s="18">
        <f>ROUNDUP(100/'Базовые таблицы'!C43,1)+N8</f>
        <v>62.5</v>
      </c>
      <c r="O36" s="6" t="s">
        <v>60</v>
      </c>
      <c r="P36" s="20">
        <f t="shared" ref="P36:P38" si="3">N36/$N$32/2</f>
        <v>0.05208333333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35" t="s">
        <v>257</v>
      </c>
      <c r="D37" s="35" t="s">
        <v>259</v>
      </c>
      <c r="F37" s="1"/>
      <c r="G37" s="47" t="s">
        <v>260</v>
      </c>
      <c r="H37" s="47">
        <v>10.0</v>
      </c>
      <c r="I37" s="1"/>
      <c r="J37" s="1"/>
      <c r="K37" s="1"/>
      <c r="L37" s="1"/>
      <c r="M37" s="6" t="s">
        <v>265</v>
      </c>
      <c r="N37" s="18">
        <f>N36*2</f>
        <v>125</v>
      </c>
      <c r="O37" s="6" t="s">
        <v>60</v>
      </c>
      <c r="P37" s="20">
        <f t="shared" si="3"/>
        <v>0.1041666667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35" t="s">
        <v>274</v>
      </c>
      <c r="D38" s="35" t="s">
        <v>259</v>
      </c>
      <c r="F38" s="1"/>
      <c r="G38" s="47" t="s">
        <v>275</v>
      </c>
      <c r="H38" s="47">
        <v>2.0</v>
      </c>
      <c r="I38" s="1"/>
      <c r="J38" s="1"/>
      <c r="K38" s="1"/>
      <c r="L38" s="1"/>
      <c r="M38" s="6" t="s">
        <v>276</v>
      </c>
      <c r="N38" s="18">
        <f>N36*3</f>
        <v>187.5</v>
      </c>
      <c r="O38" s="6" t="s">
        <v>60</v>
      </c>
      <c r="P38" s="20">
        <f t="shared" si="3"/>
        <v>0.15625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35" t="s">
        <v>278</v>
      </c>
      <c r="D39" s="35" t="s">
        <v>259</v>
      </c>
      <c r="F39" s="1"/>
      <c r="G39" s="47" t="s">
        <v>279</v>
      </c>
      <c r="H39" s="48">
        <f>H37+H38</f>
        <v>12</v>
      </c>
      <c r="I39" s="1"/>
      <c r="J39" s="1"/>
      <c r="K39" s="1"/>
      <c r="L39" s="1"/>
      <c r="M39" s="6" t="s">
        <v>281</v>
      </c>
      <c r="N39" s="7">
        <v>0.25</v>
      </c>
      <c r="O39" s="6" t="s">
        <v>128</v>
      </c>
      <c r="P39" s="20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35" t="s">
        <v>283</v>
      </c>
      <c r="D40" s="35" t="s">
        <v>259</v>
      </c>
      <c r="F40" s="1"/>
      <c r="G40" s="47" t="s">
        <v>284</v>
      </c>
      <c r="H40" s="47">
        <v>3.0</v>
      </c>
      <c r="I40" s="1"/>
      <c r="J40" s="1"/>
      <c r="K40" s="1"/>
      <c r="L40" s="1"/>
      <c r="M40" s="6" t="s">
        <v>288</v>
      </c>
      <c r="N40" s="7">
        <v>2.0</v>
      </c>
      <c r="O40" s="6" t="s">
        <v>128</v>
      </c>
      <c r="P40" s="20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35" t="s">
        <v>292</v>
      </c>
      <c r="D41" s="35" t="s">
        <v>293</v>
      </c>
      <c r="F41" s="1"/>
      <c r="H41" s="47">
        <v>100.0</v>
      </c>
      <c r="I41" s="1"/>
      <c r="J41" s="1"/>
      <c r="K41" s="1"/>
      <c r="L41" s="1"/>
      <c r="M41" s="6" t="s">
        <v>295</v>
      </c>
      <c r="N41" s="7">
        <v>0.1</v>
      </c>
      <c r="O41" s="6" t="s">
        <v>128</v>
      </c>
      <c r="P41" s="20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35" t="s">
        <v>299</v>
      </c>
      <c r="D42" s="35" t="s">
        <v>300</v>
      </c>
      <c r="F42" s="1"/>
      <c r="G42" s="1"/>
      <c r="H42" s="1"/>
      <c r="I42" s="1"/>
      <c r="J42" s="1"/>
      <c r="K42" s="1"/>
      <c r="L42" s="1"/>
      <c r="M42" s="6" t="s">
        <v>302</v>
      </c>
      <c r="N42" s="7">
        <v>1.0</v>
      </c>
      <c r="O42" s="6" t="s">
        <v>128</v>
      </c>
      <c r="P42" s="20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35" t="s">
        <v>306</v>
      </c>
      <c r="D43" s="35" t="s">
        <v>307</v>
      </c>
      <c r="F43" s="1"/>
      <c r="G43" s="1"/>
      <c r="H43" s="1"/>
      <c r="I43" s="1"/>
      <c r="J43" s="1"/>
      <c r="K43" s="1"/>
      <c r="L43" s="1"/>
      <c r="M43" s="6" t="s">
        <v>309</v>
      </c>
      <c r="N43" s="7">
        <v>2.0</v>
      </c>
      <c r="O43" s="6" t="s">
        <v>128</v>
      </c>
      <c r="P43" s="20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F44" s="1"/>
      <c r="G44" s="1"/>
      <c r="H44" s="1"/>
      <c r="I44" s="1"/>
      <c r="J44" s="1"/>
      <c r="K44" s="1"/>
      <c r="L44" s="1"/>
      <c r="M44" s="6" t="s">
        <v>312</v>
      </c>
      <c r="N44" s="7">
        <v>3.0</v>
      </c>
      <c r="O44" s="6" t="s">
        <v>128</v>
      </c>
      <c r="P44" s="20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44" t="s">
        <v>313</v>
      </c>
      <c r="D45" s="3"/>
      <c r="E45" s="4"/>
      <c r="F45" s="1"/>
      <c r="G45" s="1"/>
      <c r="H45" s="1"/>
      <c r="I45" s="1"/>
      <c r="J45" s="1"/>
      <c r="K45" s="1"/>
      <c r="L45" s="1"/>
      <c r="M45" s="6" t="s">
        <v>314</v>
      </c>
      <c r="N45" s="7">
        <v>0.1</v>
      </c>
      <c r="O45" s="6" t="s">
        <v>128</v>
      </c>
      <c r="P45" s="20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45" t="s">
        <v>239</v>
      </c>
      <c r="D46" s="45" t="s">
        <v>315</v>
      </c>
      <c r="E46" s="45" t="s">
        <v>316</v>
      </c>
      <c r="F46" s="1"/>
      <c r="G46" s="1"/>
      <c r="H46" s="1"/>
      <c r="I46" s="1"/>
      <c r="J46" s="1"/>
      <c r="K46" s="1"/>
      <c r="L46" s="1"/>
      <c r="M46" s="6" t="s">
        <v>317</v>
      </c>
      <c r="N46" s="6">
        <v>450.0</v>
      </c>
      <c r="O46" s="18"/>
      <c r="P46" s="18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35" t="s">
        <v>242</v>
      </c>
      <c r="D47" s="35">
        <v>-2.0</v>
      </c>
      <c r="E47" s="35" t="s">
        <v>318</v>
      </c>
      <c r="F47" s="1"/>
      <c r="G47" s="1"/>
      <c r="H47" s="1"/>
      <c r="I47" s="1"/>
      <c r="J47" s="1"/>
      <c r="K47" s="1"/>
      <c r="L47" s="1"/>
      <c r="M47" s="47" t="s">
        <v>319</v>
      </c>
      <c r="N47" s="6">
        <f>ROUNDUP(100/'Базовые таблицы'!C44,1)</f>
        <v>0.9</v>
      </c>
      <c r="O47" s="6" t="s">
        <v>2</v>
      </c>
      <c r="P47" s="18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35" t="s">
        <v>230</v>
      </c>
      <c r="D48" s="35">
        <v>10.0</v>
      </c>
      <c r="E48" s="35"/>
      <c r="F48" s="1"/>
      <c r="G48" s="1"/>
      <c r="H48" s="1"/>
      <c r="I48" s="1"/>
      <c r="J48" s="1"/>
      <c r="K48" s="1"/>
      <c r="L48" s="1"/>
      <c r="M48" s="6" t="s">
        <v>320</v>
      </c>
      <c r="N48" s="6">
        <f>ROUNDUP(100/'Базовые таблицы'!C45,1)</f>
        <v>2.1</v>
      </c>
      <c r="O48" s="6" t="s">
        <v>138</v>
      </c>
      <c r="P48" s="18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35" t="s">
        <v>233</v>
      </c>
      <c r="D49" s="35">
        <v>25.0</v>
      </c>
      <c r="E49" s="35"/>
      <c r="F49" s="1"/>
      <c r="G49" s="1"/>
      <c r="H49" s="1"/>
      <c r="I49" s="1"/>
      <c r="J49" s="1"/>
      <c r="K49" s="1"/>
      <c r="L49" s="1"/>
      <c r="M49" s="47" t="s">
        <v>321</v>
      </c>
      <c r="N49" s="6">
        <v>3.0</v>
      </c>
      <c r="O49" s="6"/>
      <c r="P49" s="18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35" t="s">
        <v>257</v>
      </c>
      <c r="D50" s="49">
        <v>0.25</v>
      </c>
      <c r="E50" s="50" t="s">
        <v>322</v>
      </c>
      <c r="F50" s="1"/>
      <c r="G50" s="1"/>
      <c r="H50" s="1"/>
      <c r="I50" s="1"/>
      <c r="J50" s="1"/>
      <c r="K50" s="1"/>
      <c r="L50" s="1"/>
      <c r="M50" s="51" t="s">
        <v>324</v>
      </c>
      <c r="N50" s="7">
        <v>0.03</v>
      </c>
      <c r="O50" s="18"/>
      <c r="P50" s="18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35" t="s">
        <v>274</v>
      </c>
      <c r="D51" s="49">
        <v>0.05</v>
      </c>
      <c r="E51" s="52"/>
      <c r="F51" s="1"/>
      <c r="G51" s="1"/>
      <c r="H51" s="1"/>
      <c r="I51" s="1"/>
      <c r="J51" s="1"/>
      <c r="K51" s="1"/>
      <c r="L51" s="1"/>
      <c r="M51" s="51" t="s">
        <v>325</v>
      </c>
      <c r="N51" s="6">
        <v>50.0</v>
      </c>
      <c r="O51" s="18"/>
      <c r="P51" s="18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35" t="s">
        <v>278</v>
      </c>
      <c r="D52" s="35">
        <v>-10.0</v>
      </c>
      <c r="E52" s="52"/>
      <c r="F52" s="1"/>
      <c r="G52" s="1"/>
      <c r="H52" s="1"/>
      <c r="I52" s="1"/>
      <c r="J52" s="1"/>
      <c r="K52" s="1"/>
      <c r="L52" s="1"/>
      <c r="M52" s="51" t="s">
        <v>326</v>
      </c>
      <c r="N52" s="18">
        <f>Roundup(100/24,1)</f>
        <v>4.2</v>
      </c>
      <c r="O52" s="18"/>
      <c r="P52" s="18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35" t="s">
        <v>283</v>
      </c>
      <c r="D53" s="35">
        <v>-5.0</v>
      </c>
      <c r="E53" s="53"/>
      <c r="F53" s="1"/>
      <c r="G53" s="1"/>
      <c r="H53" s="1"/>
      <c r="I53" s="1"/>
      <c r="J53" s="1"/>
      <c r="K53" s="1"/>
      <c r="L53" s="1"/>
      <c r="M53" s="51" t="s">
        <v>327</v>
      </c>
      <c r="N53" s="18">
        <f>Roundup(100/8,1)</f>
        <v>12.5</v>
      </c>
      <c r="O53" s="18"/>
      <c r="P53" s="18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35" t="s">
        <v>328</v>
      </c>
      <c r="D54" s="49">
        <v>0.3</v>
      </c>
      <c r="E54" s="6" t="s">
        <v>329</v>
      </c>
      <c r="F54" s="1"/>
      <c r="G54" s="1"/>
      <c r="H54" s="1"/>
      <c r="I54" s="1"/>
      <c r="J54" s="1"/>
      <c r="K54" s="1"/>
      <c r="L54" s="1"/>
      <c r="M54" s="51" t="s">
        <v>330</v>
      </c>
      <c r="N54" s="18">
        <f>Roundup(100/2,1)</f>
        <v>50</v>
      </c>
      <c r="O54" s="18"/>
      <c r="P54" s="18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35" t="s">
        <v>331</v>
      </c>
      <c r="D55" s="35">
        <f>30 * 1</f>
        <v>30</v>
      </c>
      <c r="E55" s="6"/>
      <c r="F55" s="1"/>
      <c r="G55" s="1"/>
      <c r="H55" s="1"/>
      <c r="I55" s="1"/>
      <c r="J55" s="1"/>
      <c r="K55" s="1"/>
      <c r="L55" s="1"/>
      <c r="M55" s="51" t="s">
        <v>332</v>
      </c>
      <c r="N55" s="7">
        <v>0.25</v>
      </c>
      <c r="O55" s="18"/>
      <c r="P55" s="18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35" t="s">
        <v>333</v>
      </c>
      <c r="D56" s="35">
        <f>100 *0.5</f>
        <v>50</v>
      </c>
      <c r="E56" s="6"/>
      <c r="F56" s="1"/>
      <c r="G56" s="1"/>
      <c r="H56" s="1"/>
      <c r="I56" s="1"/>
      <c r="J56" s="1"/>
      <c r="K56" s="1"/>
      <c r="L56" s="1"/>
      <c r="M56" s="54" t="s">
        <v>334</v>
      </c>
      <c r="N56" s="27">
        <f>N9*2</f>
        <v>8.4</v>
      </c>
      <c r="O56" s="18"/>
      <c r="P56" s="18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35" t="s">
        <v>299</v>
      </c>
      <c r="D57" s="35">
        <f>(D55+D56)/2</f>
        <v>40</v>
      </c>
      <c r="E57" s="6" t="s">
        <v>335</v>
      </c>
      <c r="F57" s="1"/>
      <c r="G57" s="1"/>
      <c r="H57" s="1"/>
      <c r="I57" s="1"/>
      <c r="J57" s="1"/>
      <c r="K57" s="1"/>
      <c r="L57" s="1"/>
      <c r="M57" s="54" t="s">
        <v>336</v>
      </c>
      <c r="N57" s="18">
        <f t="shared" ref="N57:N58" si="4">N56*2</f>
        <v>16.8</v>
      </c>
      <c r="O57" s="18"/>
      <c r="P57" s="18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35" t="s">
        <v>306</v>
      </c>
      <c r="D58" s="49">
        <v>0.5</v>
      </c>
      <c r="E58" s="6" t="s">
        <v>337</v>
      </c>
      <c r="F58" s="1"/>
      <c r="G58" s="1"/>
      <c r="H58" s="1"/>
      <c r="I58" s="1"/>
      <c r="J58" s="1"/>
      <c r="K58" s="1"/>
      <c r="L58" s="1"/>
      <c r="M58" s="54" t="s">
        <v>338</v>
      </c>
      <c r="N58" s="18">
        <f t="shared" si="4"/>
        <v>33.6</v>
      </c>
      <c r="O58" s="18"/>
      <c r="P58" s="18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51" t="s">
        <v>339</v>
      </c>
      <c r="N59" s="7">
        <v>0.05</v>
      </c>
      <c r="O59" s="18"/>
      <c r="P59" s="18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E60" s="1"/>
      <c r="F60" s="1"/>
      <c r="G60" s="1"/>
      <c r="H60" s="1"/>
      <c r="I60" s="1"/>
      <c r="J60" s="1"/>
      <c r="K60" s="1"/>
      <c r="L60" s="1"/>
      <c r="M60" s="51" t="s">
        <v>340</v>
      </c>
      <c r="N60" s="7">
        <v>0.75</v>
      </c>
      <c r="O60" s="18"/>
      <c r="P60" s="18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6" t="s">
        <v>341</v>
      </c>
      <c r="D61" s="18"/>
      <c r="E61" s="1"/>
      <c r="F61" s="1"/>
      <c r="G61" s="1"/>
      <c r="H61" s="1"/>
      <c r="I61" s="1"/>
      <c r="J61" s="1"/>
      <c r="K61" s="1"/>
      <c r="L61" s="1"/>
      <c r="M61" s="51" t="s">
        <v>342</v>
      </c>
      <c r="N61" s="7">
        <v>0.2</v>
      </c>
      <c r="O61" s="18"/>
      <c r="P61" s="18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6" t="s">
        <v>343</v>
      </c>
      <c r="D62" s="18">
        <f>D57*D54+D47*(1-D54)</f>
        <v>10.6</v>
      </c>
      <c r="E62" s="1" t="str">
        <f>CONCATENATE(C57,"*",C54,"+",C47,"*(1-",C54,")")</f>
        <v>Температура объектов окружения*Термоизоляция пространства, %+Температура окружающей среды*(1-Термоизоляция пространства, %)</v>
      </c>
      <c r="H62" s="1"/>
      <c r="I62" s="1"/>
      <c r="J62" s="1"/>
      <c r="K62" s="1"/>
      <c r="L62" s="1"/>
      <c r="M62" s="54" t="s">
        <v>344</v>
      </c>
      <c r="N62" s="6">
        <v>0.0</v>
      </c>
      <c r="O62" s="18"/>
      <c r="P62" s="18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6" t="s">
        <v>345</v>
      </c>
      <c r="D63" s="18">
        <f>D48+D52+25*D58</f>
        <v>12.5</v>
      </c>
      <c r="E63" s="55" t="str">
        <f>CONCATENATE(C48,"+",C52,"+25","*",C58)</f>
        <v>Минимальная комфортная температура, С+Изменение минимальной комфортной температуры одежды, С+25*Влажность одежды</v>
      </c>
      <c r="H63" s="1"/>
      <c r="I63" s="1"/>
      <c r="J63" s="1"/>
      <c r="K63" s="1"/>
      <c r="L63" s="1"/>
      <c r="M63" s="54" t="s">
        <v>346</v>
      </c>
      <c r="N63" s="6">
        <v>1.0</v>
      </c>
      <c r="O63" s="18"/>
      <c r="P63" s="18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6" t="s">
        <v>347</v>
      </c>
      <c r="D64" s="18">
        <f>D49+D53+25*D58</f>
        <v>32.5</v>
      </c>
      <c r="E64" s="55" t="str">
        <f>CONCATENATE(C49,"+",C53,"+25","*",C58)</f>
        <v>Максимальная комфортная температура, С+Изменение максимальной комфортной температуры одежды, С+25*Влажность одежды</v>
      </c>
      <c r="H64" s="1"/>
      <c r="I64" s="1"/>
      <c r="J64" s="1"/>
      <c r="K64" s="1"/>
      <c r="L64" s="1"/>
      <c r="M64" s="54" t="s">
        <v>348</v>
      </c>
      <c r="N64" s="6">
        <v>3.0</v>
      </c>
      <c r="O64" s="18"/>
      <c r="P64" s="18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6" t="s">
        <v>349</v>
      </c>
      <c r="D65" s="18" t="str">
        <f>if(D62&lt;D63,"замерзает",if(D62&gt;D64,"перегревается","кайфует"))</f>
        <v>замерзает</v>
      </c>
      <c r="E65" s="1"/>
      <c r="F65" s="1"/>
      <c r="G65" s="1"/>
      <c r="H65" s="1"/>
      <c r="I65" s="1"/>
      <c r="J65" s="1"/>
      <c r="K65" s="1"/>
      <c r="L65" s="1"/>
      <c r="M65" s="51" t="s">
        <v>353</v>
      </c>
      <c r="N65" s="7">
        <v>0.05</v>
      </c>
      <c r="O65" s="18"/>
      <c r="P65" s="18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6" t="s">
        <v>354</v>
      </c>
      <c r="D66" s="18">
        <f>if(D65="замерзает",N25*(1+D58)*(1-D50),if(D65="перегревается",N26*(1-D58)*(1-D50),0))</f>
        <v>14.0625</v>
      </c>
      <c r="E66" s="58" t="s">
        <v>355</v>
      </c>
      <c r="F66" s="60" t="s">
        <v>357</v>
      </c>
      <c r="G66" s="4"/>
      <c r="H66" s="1"/>
      <c r="I66" s="1"/>
      <c r="J66" s="1"/>
      <c r="K66" s="1"/>
      <c r="L66" s="1"/>
      <c r="M66" s="51" t="s">
        <v>360</v>
      </c>
      <c r="N66" s="7">
        <v>0.02</v>
      </c>
      <c r="O66" s="18"/>
      <c r="P66" s="18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58" t="s">
        <v>366</v>
      </c>
      <c r="F67" s="61" t="s">
        <v>368</v>
      </c>
      <c r="H67" s="1"/>
      <c r="I67" s="1"/>
      <c r="J67" s="1"/>
      <c r="K67" s="1"/>
      <c r="L67" s="1"/>
      <c r="M67" s="51" t="s">
        <v>373</v>
      </c>
      <c r="N67" s="62">
        <v>0.005</v>
      </c>
      <c r="O67" s="18"/>
      <c r="P67" s="18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51" t="s">
        <v>376</v>
      </c>
      <c r="N68" s="7">
        <v>0.5</v>
      </c>
      <c r="O68" s="18"/>
      <c r="P68" s="18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51" t="s">
        <v>378</v>
      </c>
      <c r="N69" s="7">
        <v>0.25</v>
      </c>
      <c r="O69" s="18"/>
      <c r="P69" s="18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42"/>
      <c r="D70" s="1"/>
      <c r="E70" s="1"/>
      <c r="F70" s="1"/>
      <c r="G70" s="1"/>
      <c r="H70" s="1"/>
      <c r="I70" s="1"/>
      <c r="J70" s="1"/>
      <c r="K70" s="1"/>
      <c r="L70" s="1"/>
      <c r="M70" s="51" t="s">
        <v>379</v>
      </c>
      <c r="N70" s="7">
        <v>0.1</v>
      </c>
      <c r="O70" s="18"/>
      <c r="P70" s="18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9" t="s">
        <v>7</v>
      </c>
      <c r="D71" s="9" t="s">
        <v>380</v>
      </c>
      <c r="E71" s="42" t="s">
        <v>381</v>
      </c>
      <c r="F71" s="1"/>
      <c r="G71" s="1"/>
      <c r="H71" s="1"/>
      <c r="I71" s="1"/>
      <c r="J71" s="1"/>
      <c r="K71" s="1"/>
      <c r="L71" s="1"/>
      <c r="M71" s="51" t="s">
        <v>382</v>
      </c>
      <c r="N71" s="7">
        <v>0.05</v>
      </c>
      <c r="O71" s="18"/>
      <c r="P71" s="18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66" t="s">
        <v>33</v>
      </c>
      <c r="D72" s="42" t="s">
        <v>384</v>
      </c>
      <c r="E72" s="1"/>
      <c r="F72" s="1"/>
      <c r="G72" s="1"/>
      <c r="H72" s="1"/>
      <c r="I72" s="1"/>
      <c r="J72" s="1"/>
      <c r="K72" s="1"/>
      <c r="L72" s="1"/>
      <c r="M72" s="54" t="s">
        <v>386</v>
      </c>
      <c r="N72" s="67">
        <v>10.0</v>
      </c>
      <c r="O72" s="18"/>
      <c r="P72" s="18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66" t="s">
        <v>50</v>
      </c>
      <c r="D73" s="42" t="s">
        <v>387</v>
      </c>
      <c r="E73" s="42" t="s">
        <v>157</v>
      </c>
      <c r="F73" s="1"/>
      <c r="G73" s="1"/>
      <c r="H73" s="1"/>
      <c r="I73" s="1"/>
      <c r="J73" s="1"/>
      <c r="K73" s="1"/>
      <c r="L73" s="1"/>
      <c r="M73" s="18"/>
      <c r="O73" s="18"/>
      <c r="P73" s="18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66" t="s">
        <v>62</v>
      </c>
      <c r="D74" s="42" t="s">
        <v>388</v>
      </c>
      <c r="E74" s="42" t="s">
        <v>389</v>
      </c>
      <c r="F74" s="1"/>
      <c r="G74" s="1"/>
      <c r="H74" s="1"/>
      <c r="I74" s="1"/>
      <c r="J74" s="1"/>
      <c r="K74" s="1"/>
      <c r="L74" s="1"/>
      <c r="M74" s="18"/>
      <c r="N74" s="18"/>
      <c r="O74" s="18"/>
      <c r="P74" s="18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66" t="s">
        <v>70</v>
      </c>
      <c r="D75" s="42" t="s">
        <v>392</v>
      </c>
      <c r="E75" s="1"/>
      <c r="F75" s="1"/>
      <c r="G75" s="1"/>
      <c r="H75" s="1"/>
      <c r="I75" s="1"/>
      <c r="J75" s="1"/>
      <c r="K75" s="1"/>
      <c r="L75" s="1"/>
      <c r="M75" s="18"/>
      <c r="N75" s="18"/>
      <c r="O75" s="18"/>
      <c r="P75" s="18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6" t="s">
        <v>83</v>
      </c>
      <c r="D76" s="42" t="s">
        <v>393</v>
      </c>
      <c r="E76" s="42" t="s">
        <v>394</v>
      </c>
      <c r="F76" s="42" t="s">
        <v>395</v>
      </c>
      <c r="G76" s="1"/>
      <c r="H76" s="1"/>
      <c r="I76" s="1"/>
      <c r="J76" s="1"/>
      <c r="K76" s="1"/>
      <c r="L76" s="1"/>
      <c r="M76" s="18"/>
      <c r="N76" s="18"/>
      <c r="O76" s="18"/>
      <c r="P76" s="18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6" t="s">
        <v>90</v>
      </c>
      <c r="D77" s="42" t="s">
        <v>396</v>
      </c>
      <c r="E77" s="1"/>
      <c r="F77" s="1"/>
      <c r="G77" s="1"/>
      <c r="H77" s="1"/>
      <c r="I77" s="1"/>
      <c r="J77" s="1"/>
      <c r="K77" s="1"/>
      <c r="L77" s="1"/>
      <c r="M77" s="18"/>
      <c r="N77" s="18"/>
      <c r="O77" s="18"/>
      <c r="P77" s="18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6" t="s">
        <v>95</v>
      </c>
      <c r="D78" s="42" t="s">
        <v>397</v>
      </c>
      <c r="E78" s="1"/>
      <c r="F78" s="42" t="s">
        <v>395</v>
      </c>
      <c r="G78" s="1"/>
      <c r="H78" s="1"/>
      <c r="I78" s="1"/>
      <c r="J78" s="1"/>
      <c r="K78" s="1"/>
      <c r="L78" s="1"/>
      <c r="M78" s="18"/>
      <c r="N78" s="18"/>
      <c r="O78" s="18"/>
      <c r="P78" s="18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6" t="s">
        <v>104</v>
      </c>
      <c r="D79" s="42" t="s">
        <v>398</v>
      </c>
      <c r="E79" s="42" t="s">
        <v>399</v>
      </c>
      <c r="F79" s="42" t="s">
        <v>400</v>
      </c>
      <c r="G79" s="1"/>
      <c r="H79" s="1"/>
      <c r="I79" s="1"/>
      <c r="J79" s="1"/>
      <c r="K79" s="1"/>
      <c r="L79" s="1"/>
      <c r="M79" s="18"/>
      <c r="N79" s="18"/>
      <c r="O79" s="18"/>
      <c r="P79" s="18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6" t="s">
        <v>111</v>
      </c>
      <c r="D80" s="42" t="s">
        <v>401</v>
      </c>
      <c r="E80" s="1"/>
      <c r="F80" s="42" t="s">
        <v>402</v>
      </c>
      <c r="G80" s="1"/>
      <c r="H80" s="1"/>
      <c r="I80" s="1"/>
      <c r="J80" s="1"/>
      <c r="K80" s="1"/>
      <c r="L80" s="1"/>
      <c r="M80" s="18"/>
      <c r="N80" s="18"/>
      <c r="O80" s="18"/>
      <c r="P80" s="18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6"/>
      <c r="D81" s="1"/>
      <c r="E81" s="1"/>
      <c r="F81" s="42"/>
      <c r="G81" s="1"/>
      <c r="H81" s="1"/>
      <c r="I81" s="1"/>
      <c r="J81" s="1"/>
      <c r="K81" s="1"/>
      <c r="L81" s="1"/>
      <c r="M81" s="18"/>
      <c r="N81" s="18"/>
      <c r="O81" s="18"/>
      <c r="P81" s="18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6" t="s">
        <v>122</v>
      </c>
      <c r="D82" s="1"/>
      <c r="E82" s="1"/>
      <c r="F82" s="42" t="s">
        <v>403</v>
      </c>
      <c r="G82" s="1"/>
      <c r="H82" s="1"/>
      <c r="I82" s="1"/>
      <c r="J82" s="1"/>
      <c r="K82" s="1"/>
      <c r="L82" s="1"/>
      <c r="M82" s="18"/>
      <c r="N82" s="18"/>
      <c r="O82" s="18"/>
      <c r="P82" s="18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8"/>
      <c r="N83" s="18"/>
      <c r="O83" s="18"/>
      <c r="P83" s="18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42" t="s">
        <v>408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42" t="s">
        <v>413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42" t="s">
        <v>414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42" t="s">
        <v>418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42" t="s">
        <v>421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42" t="s">
        <v>423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10">
    <mergeCell ref="E64:G64"/>
    <mergeCell ref="F66:G66"/>
    <mergeCell ref="F67:G67"/>
    <mergeCell ref="C17:I17"/>
    <mergeCell ref="F23:G24"/>
    <mergeCell ref="C32:D32"/>
    <mergeCell ref="C45:E45"/>
    <mergeCell ref="E50:E53"/>
    <mergeCell ref="E62:G62"/>
    <mergeCell ref="E63:G63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38"/>
    <col customWidth="1" min="3" max="3" width="19.5"/>
  </cols>
  <sheetData>
    <row r="2">
      <c r="B2" s="2" t="s">
        <v>0</v>
      </c>
      <c r="C2" s="3"/>
      <c r="D2" s="3"/>
      <c r="E2" s="4"/>
    </row>
    <row r="3">
      <c r="B3" s="5" t="s">
        <v>1</v>
      </c>
      <c r="C3" s="5" t="s">
        <v>2</v>
      </c>
      <c r="D3" s="5" t="s">
        <v>3</v>
      </c>
      <c r="E3" s="5"/>
    </row>
    <row r="4">
      <c r="B4" s="6">
        <v>0.0</v>
      </c>
      <c r="C4" s="7">
        <v>0.05</v>
      </c>
      <c r="D4" s="6"/>
      <c r="E4" s="6"/>
    </row>
    <row r="5">
      <c r="B5" s="6">
        <v>1.0</v>
      </c>
      <c r="C5" s="7">
        <v>0.2</v>
      </c>
      <c r="D5" s="6"/>
      <c r="E5" s="6"/>
    </row>
    <row r="6">
      <c r="B6" s="6">
        <v>2.0</v>
      </c>
      <c r="C6" s="7">
        <v>0.4</v>
      </c>
      <c r="D6" s="6"/>
      <c r="E6" s="6"/>
    </row>
    <row r="7">
      <c r="B7" s="6">
        <v>3.0</v>
      </c>
      <c r="C7" s="7">
        <v>0.6</v>
      </c>
      <c r="D7" s="6"/>
      <c r="E7" s="6"/>
    </row>
    <row r="8">
      <c r="B8" s="6">
        <v>4.0</v>
      </c>
      <c r="C8" s="7">
        <v>0.8</v>
      </c>
      <c r="D8" s="6"/>
      <c r="E8" s="6"/>
    </row>
    <row r="9">
      <c r="B9" s="6">
        <v>5.0</v>
      </c>
      <c r="C9" s="7">
        <v>1.0</v>
      </c>
      <c r="D9" s="6"/>
      <c r="E9" s="6"/>
    </row>
    <row r="10">
      <c r="B10" s="6">
        <v>6.0</v>
      </c>
      <c r="C10" s="7">
        <v>1.25</v>
      </c>
      <c r="D10" s="6"/>
      <c r="E10" s="6"/>
    </row>
    <row r="11">
      <c r="B11" s="6">
        <v>7.0</v>
      </c>
      <c r="C11" s="7">
        <v>1.5</v>
      </c>
      <c r="D11" s="6"/>
      <c r="E11" s="6"/>
    </row>
    <row r="12">
      <c r="B12" s="6">
        <v>8.0</v>
      </c>
      <c r="C12" s="7">
        <v>1.75</v>
      </c>
      <c r="D12" s="6"/>
      <c r="E12" s="6"/>
    </row>
    <row r="13">
      <c r="B13" s="6">
        <v>9.0</v>
      </c>
      <c r="C13" s="7">
        <v>2.0</v>
      </c>
      <c r="D13" s="7"/>
      <c r="E13" s="7"/>
    </row>
    <row r="14">
      <c r="B14" s="6">
        <v>10.0</v>
      </c>
      <c r="C14" s="7">
        <v>2.5</v>
      </c>
      <c r="D14" s="7"/>
      <c r="E14" s="7"/>
    </row>
    <row r="16">
      <c r="B16" s="2" t="s">
        <v>12</v>
      </c>
      <c r="C16" s="3"/>
      <c r="D16" s="3"/>
      <c r="E16" s="4"/>
    </row>
    <row r="17">
      <c r="B17" s="5" t="s">
        <v>1</v>
      </c>
      <c r="C17" s="5" t="s">
        <v>29</v>
      </c>
      <c r="D17" s="5"/>
      <c r="E17" s="5"/>
    </row>
    <row r="18">
      <c r="B18" s="6">
        <v>0.0</v>
      </c>
      <c r="C18" s="7">
        <v>3.0</v>
      </c>
      <c r="D18" s="6"/>
      <c r="E18" s="6"/>
    </row>
    <row r="19">
      <c r="B19" s="6">
        <v>1.0</v>
      </c>
      <c r="C19" s="7">
        <v>2.0</v>
      </c>
      <c r="D19" s="6"/>
      <c r="E19" s="6"/>
    </row>
    <row r="20">
      <c r="B20" s="6">
        <v>2.0</v>
      </c>
      <c r="C20" s="7">
        <v>1.75</v>
      </c>
      <c r="D20" s="6"/>
      <c r="E20" s="6"/>
    </row>
    <row r="21">
      <c r="B21" s="6">
        <v>3.0</v>
      </c>
      <c r="C21" s="7">
        <v>1.5</v>
      </c>
      <c r="D21" s="6"/>
      <c r="E21" s="6"/>
    </row>
    <row r="22">
      <c r="B22" s="6">
        <v>4.0</v>
      </c>
      <c r="C22" s="7">
        <v>1.25</v>
      </c>
      <c r="D22" s="6"/>
      <c r="E22" s="6"/>
    </row>
    <row r="23">
      <c r="B23" s="6">
        <v>5.0</v>
      </c>
      <c r="C23" s="7">
        <v>1.0</v>
      </c>
      <c r="D23" s="6"/>
      <c r="E23" s="6"/>
    </row>
    <row r="24">
      <c r="B24" s="6">
        <v>6.0</v>
      </c>
      <c r="C24" s="7">
        <v>0.75</v>
      </c>
      <c r="D24" s="6"/>
      <c r="E24" s="6"/>
    </row>
    <row r="25">
      <c r="B25" s="6">
        <v>7.0</v>
      </c>
      <c r="C25" s="7">
        <v>0.5</v>
      </c>
      <c r="D25" s="6"/>
      <c r="E25" s="6"/>
    </row>
    <row r="26">
      <c r="B26" s="6">
        <v>8.0</v>
      </c>
      <c r="C26" s="7">
        <v>0.25</v>
      </c>
      <c r="D26" s="6"/>
      <c r="E26" s="6"/>
    </row>
    <row r="27">
      <c r="B27" s="6">
        <v>9.0</v>
      </c>
      <c r="C27" s="7">
        <v>0.1</v>
      </c>
      <c r="D27" s="7"/>
      <c r="E27" s="7"/>
    </row>
    <row r="28">
      <c r="B28" s="6">
        <v>10.0</v>
      </c>
      <c r="C28" s="7">
        <v>0.05</v>
      </c>
      <c r="D28" s="7"/>
      <c r="E28" s="7"/>
    </row>
  </sheetData>
  <mergeCells count="2">
    <mergeCell ref="B2:E2"/>
    <mergeCell ref="B16:E1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63"/>
    <col customWidth="1" min="4" max="4" width="54.0"/>
    <col customWidth="1" min="5" max="5" width="36.0"/>
  </cols>
  <sheetData>
    <row r="2">
      <c r="B2" s="32" t="s">
        <v>109</v>
      </c>
      <c r="C2" s="3"/>
      <c r="D2" s="3"/>
      <c r="E2" s="4"/>
    </row>
    <row r="3">
      <c r="B3" s="33" t="s">
        <v>110</v>
      </c>
      <c r="C3" s="33" t="s">
        <v>112</v>
      </c>
      <c r="D3" s="33" t="s">
        <v>115</v>
      </c>
      <c r="E3" s="33" t="s">
        <v>118</v>
      </c>
    </row>
    <row r="4">
      <c r="B4" s="34"/>
      <c r="C4" s="34"/>
      <c r="D4" s="34"/>
      <c r="E4" s="34"/>
    </row>
    <row r="5">
      <c r="B5" s="34"/>
      <c r="C5" s="34"/>
      <c r="D5" s="34"/>
      <c r="E5" s="34"/>
    </row>
    <row r="6">
      <c r="B6" s="34"/>
      <c r="C6" s="34"/>
      <c r="D6" s="34"/>
      <c r="E6" s="34"/>
    </row>
    <row r="7">
      <c r="B7" s="34"/>
      <c r="C7" s="34"/>
      <c r="D7" s="34"/>
      <c r="E7" s="34"/>
    </row>
    <row r="8">
      <c r="B8" s="34"/>
      <c r="C8" s="34"/>
      <c r="D8" s="34"/>
      <c r="E8" s="34"/>
    </row>
    <row r="9">
      <c r="B9" s="34"/>
      <c r="C9" s="34"/>
      <c r="D9" s="34"/>
      <c r="E9" s="34"/>
    </row>
    <row r="10">
      <c r="B10" s="34"/>
      <c r="C10" s="34"/>
      <c r="D10" s="34"/>
      <c r="E10" s="34"/>
    </row>
    <row r="11">
      <c r="B11" s="34"/>
      <c r="C11" s="34"/>
      <c r="D11" s="34"/>
      <c r="E11" s="34"/>
    </row>
    <row r="12">
      <c r="B12" s="34"/>
      <c r="C12" s="34"/>
      <c r="D12" s="34"/>
      <c r="E12" s="34"/>
    </row>
    <row r="13">
      <c r="B13" s="34"/>
      <c r="C13" s="34"/>
      <c r="D13" s="34"/>
      <c r="E13" s="34"/>
    </row>
    <row r="14">
      <c r="B14" s="34"/>
      <c r="C14" s="34"/>
      <c r="D14" s="34"/>
      <c r="E14" s="34"/>
    </row>
    <row r="15">
      <c r="B15" s="34"/>
      <c r="C15" s="34"/>
      <c r="D15" s="34"/>
      <c r="E15" s="34"/>
    </row>
    <row r="16">
      <c r="B16" s="34"/>
      <c r="C16" s="34"/>
      <c r="D16" s="34"/>
      <c r="E16" s="34"/>
    </row>
    <row r="17">
      <c r="B17" s="34"/>
      <c r="C17" s="34"/>
      <c r="D17" s="34"/>
      <c r="E17" s="34"/>
    </row>
  </sheetData>
  <mergeCells count="1">
    <mergeCell ref="B2:E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5"/>
    <col customWidth="1" min="3" max="3" width="14.88"/>
    <col customWidth="1" min="4" max="4" width="18.88"/>
  </cols>
  <sheetData>
    <row r="2">
      <c r="B2" s="9" t="s">
        <v>205</v>
      </c>
      <c r="C2" s="9" t="s">
        <v>207</v>
      </c>
      <c r="D2" s="9" t="s">
        <v>23</v>
      </c>
    </row>
    <row r="3">
      <c r="B3" s="6" t="s">
        <v>33</v>
      </c>
      <c r="C3" s="18"/>
      <c r="D3" s="6"/>
    </row>
    <row r="4">
      <c r="B4" s="6" t="s">
        <v>209</v>
      </c>
      <c r="C4" s="18"/>
      <c r="D4" s="6"/>
    </row>
    <row r="5">
      <c r="B5" s="6" t="s">
        <v>95</v>
      </c>
      <c r="C5" s="18"/>
      <c r="D5" s="6"/>
    </row>
    <row r="6">
      <c r="B6" s="6" t="s">
        <v>210</v>
      </c>
      <c r="C6" s="18"/>
      <c r="D6" s="6"/>
    </row>
    <row r="7">
      <c r="B7" s="6" t="s">
        <v>212</v>
      </c>
      <c r="C7" s="18"/>
      <c r="D7" s="6"/>
    </row>
    <row r="8">
      <c r="B8" s="6" t="s">
        <v>214</v>
      </c>
      <c r="C8" s="18"/>
      <c r="D8" s="6"/>
    </row>
    <row r="9">
      <c r="B9" s="6" t="s">
        <v>216</v>
      </c>
      <c r="C9" s="18"/>
      <c r="D9" s="6"/>
    </row>
    <row r="10">
      <c r="B10" s="6" t="s">
        <v>217</v>
      </c>
      <c r="C10" s="18"/>
      <c r="D10" s="6"/>
    </row>
    <row r="11">
      <c r="B11" s="6"/>
      <c r="C11" s="18"/>
      <c r="D11" s="6"/>
    </row>
    <row r="12">
      <c r="B12" s="6"/>
      <c r="C12" s="18"/>
      <c r="D12" s="6"/>
    </row>
    <row r="13">
      <c r="B13" s="6"/>
      <c r="C13" s="18"/>
      <c r="D13" s="6"/>
    </row>
    <row r="14">
      <c r="B14" s="6"/>
      <c r="C14" s="18"/>
      <c r="D14" s="6"/>
    </row>
    <row r="15">
      <c r="B15" s="6"/>
      <c r="C15" s="18"/>
      <c r="D15" s="6"/>
    </row>
    <row r="16">
      <c r="B16" s="6"/>
      <c r="C16" s="18"/>
      <c r="D16" s="6"/>
    </row>
    <row r="17">
      <c r="B17" s="6"/>
      <c r="C17" s="18"/>
      <c r="D17" s="6"/>
    </row>
    <row r="18">
      <c r="B18" s="6"/>
      <c r="C18" s="18"/>
      <c r="D18" s="6"/>
    </row>
    <row r="19">
      <c r="B19" s="6"/>
      <c r="C19" s="18"/>
      <c r="D19" s="6"/>
    </row>
    <row r="20">
      <c r="B20" s="6"/>
      <c r="C20" s="18"/>
      <c r="D20" s="6"/>
    </row>
    <row r="21">
      <c r="B21" s="6"/>
      <c r="C21" s="18"/>
      <c r="D21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5"/>
    <col customWidth="1" min="3" max="3" width="16.0"/>
    <col customWidth="1" min="4" max="4" width="17.5"/>
    <col customWidth="1" min="8" max="8" width="5.75"/>
    <col customWidth="1" min="9" max="9" width="35.88"/>
    <col customWidth="1" min="10" max="10" width="44.13"/>
    <col customWidth="1" min="12" max="12" width="30.13"/>
    <col customWidth="1" min="13" max="13" width="27.38"/>
  </cols>
  <sheetData>
    <row r="1">
      <c r="B1" s="36" t="s">
        <v>247</v>
      </c>
      <c r="C1" s="3"/>
      <c r="D1" s="3"/>
      <c r="E1" s="4"/>
    </row>
    <row r="2">
      <c r="B2" s="9" t="s">
        <v>248</v>
      </c>
      <c r="C2" s="9" t="s">
        <v>249</v>
      </c>
      <c r="D2" s="9" t="s">
        <v>250</v>
      </c>
      <c r="E2" s="9" t="s">
        <v>251</v>
      </c>
      <c r="H2" s="6">
        <v>1.0</v>
      </c>
      <c r="I2" s="6" t="s">
        <v>252</v>
      </c>
      <c r="J2" s="6" t="s">
        <v>253</v>
      </c>
      <c r="M2" s="35" t="s">
        <v>254</v>
      </c>
    </row>
    <row r="3">
      <c r="B3" s="6" t="s">
        <v>255</v>
      </c>
      <c r="C3" s="6">
        <v>0.3</v>
      </c>
      <c r="D3" s="6">
        <v>36.6</v>
      </c>
      <c r="E3" s="6">
        <v>1.0</v>
      </c>
      <c r="H3" s="6">
        <v>2.0</v>
      </c>
      <c r="I3" s="6" t="s">
        <v>256</v>
      </c>
      <c r="J3" s="6" t="s">
        <v>258</v>
      </c>
      <c r="M3" s="35" t="s">
        <v>250</v>
      </c>
    </row>
    <row r="4">
      <c r="B4" s="6"/>
      <c r="C4" s="18"/>
      <c r="D4" s="6"/>
      <c r="E4" s="6"/>
      <c r="H4" s="6">
        <v>3.0</v>
      </c>
      <c r="I4" s="6" t="s">
        <v>261</v>
      </c>
      <c r="J4" s="6" t="s">
        <v>262</v>
      </c>
      <c r="M4" s="35" t="s">
        <v>263</v>
      </c>
    </row>
    <row r="5">
      <c r="B5" s="6"/>
      <c r="C5" s="18"/>
      <c r="D5" s="6"/>
      <c r="E5" s="6"/>
      <c r="H5" s="6">
        <v>4.0</v>
      </c>
      <c r="I5" s="6" t="s">
        <v>264</v>
      </c>
      <c r="J5" s="6" t="s">
        <v>266</v>
      </c>
      <c r="M5" s="35" t="s">
        <v>267</v>
      </c>
    </row>
    <row r="6">
      <c r="B6" s="6"/>
      <c r="C6" s="18"/>
      <c r="D6" s="6"/>
      <c r="E6" s="6"/>
      <c r="H6" s="6">
        <v>5.0</v>
      </c>
      <c r="I6" s="6" t="s">
        <v>268</v>
      </c>
      <c r="J6" s="6" t="s">
        <v>269</v>
      </c>
      <c r="M6" s="35" t="s">
        <v>270</v>
      </c>
    </row>
    <row r="7">
      <c r="B7" s="6"/>
      <c r="C7" s="18"/>
      <c r="D7" s="6"/>
      <c r="E7" s="6"/>
      <c r="H7" s="6">
        <v>6.0</v>
      </c>
      <c r="I7" s="6" t="s">
        <v>271</v>
      </c>
      <c r="J7" s="18"/>
      <c r="M7" s="35" t="s">
        <v>272</v>
      </c>
    </row>
    <row r="8">
      <c r="B8" s="6"/>
      <c r="C8" s="18"/>
      <c r="D8" s="6"/>
      <c r="E8" s="6"/>
      <c r="J8" s="47" t="s">
        <v>273</v>
      </c>
    </row>
    <row r="9">
      <c r="B9" s="6"/>
      <c r="C9" s="18"/>
      <c r="D9" s="6"/>
      <c r="E9" s="6"/>
    </row>
    <row r="10">
      <c r="B10" s="6"/>
      <c r="C10" s="18"/>
      <c r="D10" s="6"/>
      <c r="E10" s="6"/>
    </row>
    <row r="11">
      <c r="B11" s="6"/>
      <c r="C11" s="18"/>
      <c r="D11" s="6"/>
      <c r="E11" s="6"/>
    </row>
    <row r="14">
      <c r="B14" s="36" t="s">
        <v>277</v>
      </c>
      <c r="C14" s="3"/>
      <c r="D14" s="3"/>
      <c r="E14" s="4"/>
    </row>
    <row r="15">
      <c r="B15" s="9"/>
      <c r="C15" s="9"/>
      <c r="D15" s="9"/>
      <c r="E15" s="9"/>
    </row>
    <row r="16">
      <c r="B16" s="6"/>
      <c r="C16" s="6"/>
      <c r="D16" s="6"/>
      <c r="E16" s="6"/>
    </row>
    <row r="17">
      <c r="B17" s="6"/>
      <c r="C17" s="18"/>
      <c r="D17" s="6"/>
      <c r="E17" s="6"/>
    </row>
    <row r="18">
      <c r="B18" s="6"/>
      <c r="C18" s="18"/>
      <c r="D18" s="6"/>
      <c r="E18" s="6"/>
    </row>
    <row r="19">
      <c r="B19" s="6"/>
      <c r="C19" s="18"/>
      <c r="D19" s="6"/>
      <c r="E19" s="6"/>
    </row>
    <row r="20">
      <c r="B20" s="6"/>
      <c r="C20" s="18"/>
      <c r="D20" s="6"/>
      <c r="E20" s="6"/>
    </row>
    <row r="21">
      <c r="B21" s="6"/>
      <c r="C21" s="18"/>
      <c r="D21" s="6"/>
      <c r="E21" s="6"/>
    </row>
    <row r="22">
      <c r="B22" s="6"/>
      <c r="C22" s="18"/>
      <c r="D22" s="6"/>
      <c r="E22" s="6"/>
    </row>
    <row r="23">
      <c r="B23" s="6"/>
      <c r="C23" s="18"/>
      <c r="D23" s="6"/>
      <c r="E23" s="6"/>
    </row>
    <row r="24">
      <c r="B24" s="6"/>
      <c r="C24" s="18"/>
      <c r="D24" s="6"/>
      <c r="E24" s="6"/>
    </row>
    <row r="27">
      <c r="B27" s="36" t="s">
        <v>282</v>
      </c>
      <c r="C27" s="3"/>
      <c r="D27" s="3"/>
      <c r="E27" s="4"/>
    </row>
    <row r="28">
      <c r="B28" s="9" t="s">
        <v>285</v>
      </c>
      <c r="C28" s="9" t="s">
        <v>286</v>
      </c>
      <c r="D28" s="9" t="s">
        <v>287</v>
      </c>
      <c r="E28" s="9" t="s">
        <v>289</v>
      </c>
    </row>
    <row r="29">
      <c r="B29" s="6" t="s">
        <v>290</v>
      </c>
      <c r="C29" s="6">
        <v>-10.0</v>
      </c>
      <c r="D29" s="6"/>
      <c r="E29" s="6"/>
    </row>
    <row r="30">
      <c r="B30" s="6" t="s">
        <v>291</v>
      </c>
      <c r="C30" s="6">
        <v>-15.0</v>
      </c>
      <c r="D30" s="6"/>
      <c r="E30" s="6"/>
    </row>
    <row r="31">
      <c r="B31" s="6" t="s">
        <v>294</v>
      </c>
      <c r="C31" s="6">
        <v>-5.0</v>
      </c>
      <c r="D31" s="6"/>
      <c r="E31" s="6"/>
    </row>
    <row r="32">
      <c r="B32" s="6" t="s">
        <v>296</v>
      </c>
      <c r="C32" s="6">
        <v>5.0</v>
      </c>
      <c r="D32" s="6"/>
      <c r="E32" s="6"/>
    </row>
    <row r="33">
      <c r="B33" s="6" t="s">
        <v>297</v>
      </c>
      <c r="C33" s="6">
        <v>10.0</v>
      </c>
      <c r="D33" s="6"/>
      <c r="E33" s="6"/>
    </row>
    <row r="34">
      <c r="B34" s="6" t="s">
        <v>298</v>
      </c>
      <c r="C34" s="6">
        <v>15.0</v>
      </c>
      <c r="D34" s="6"/>
      <c r="E34" s="6"/>
    </row>
    <row r="35">
      <c r="B35" s="6" t="s">
        <v>301</v>
      </c>
      <c r="C35" s="6">
        <v>25.0</v>
      </c>
      <c r="D35" s="6"/>
      <c r="E35" s="6"/>
    </row>
    <row r="36">
      <c r="B36" s="6" t="s">
        <v>303</v>
      </c>
      <c r="C36" s="6">
        <v>20.0</v>
      </c>
      <c r="D36" s="6"/>
      <c r="E36" s="6"/>
    </row>
    <row r="37">
      <c r="B37" s="6" t="s">
        <v>304</v>
      </c>
      <c r="C37" s="6">
        <v>15.0</v>
      </c>
      <c r="D37" s="6"/>
      <c r="E37" s="6"/>
    </row>
    <row r="38">
      <c r="B38" s="6" t="s">
        <v>305</v>
      </c>
      <c r="C38" s="35">
        <v>5.0</v>
      </c>
      <c r="D38" s="27"/>
      <c r="E38" s="27"/>
    </row>
    <row r="39">
      <c r="B39" s="35" t="s">
        <v>308</v>
      </c>
      <c r="C39" s="35">
        <v>0.0</v>
      </c>
      <c r="D39" s="27"/>
      <c r="E39" s="27"/>
    </row>
    <row r="40">
      <c r="B40" s="35" t="s">
        <v>310</v>
      </c>
      <c r="C40" s="35">
        <v>-5.0</v>
      </c>
      <c r="D40" s="27"/>
      <c r="E40" s="27"/>
    </row>
    <row r="43">
      <c r="B43" s="36" t="s">
        <v>311</v>
      </c>
      <c r="C43" s="3"/>
      <c r="D43" s="3"/>
      <c r="E43" s="4"/>
    </row>
    <row r="44">
      <c r="B44" s="9" t="s">
        <v>285</v>
      </c>
      <c r="C44" s="9" t="s">
        <v>286</v>
      </c>
      <c r="D44" s="9" t="s">
        <v>287</v>
      </c>
      <c r="E44" s="9" t="s">
        <v>289</v>
      </c>
    </row>
    <row r="45">
      <c r="B45" s="6" t="s">
        <v>290</v>
      </c>
      <c r="C45" s="6"/>
      <c r="D45" s="6"/>
      <c r="E45" s="6"/>
    </row>
    <row r="46">
      <c r="B46" s="6" t="s">
        <v>291</v>
      </c>
      <c r="C46" s="6"/>
      <c r="D46" s="6"/>
      <c r="E46" s="6"/>
    </row>
    <row r="47">
      <c r="B47" s="6" t="s">
        <v>294</v>
      </c>
      <c r="C47" s="6"/>
      <c r="D47" s="6"/>
      <c r="E47" s="6"/>
    </row>
    <row r="48">
      <c r="B48" s="6" t="s">
        <v>296</v>
      </c>
      <c r="C48" s="6"/>
      <c r="D48" s="6"/>
      <c r="E48" s="6"/>
    </row>
    <row r="49">
      <c r="B49" s="6" t="s">
        <v>297</v>
      </c>
      <c r="C49" s="6"/>
      <c r="D49" s="6"/>
      <c r="E49" s="6"/>
    </row>
    <row r="50">
      <c r="B50" s="6" t="s">
        <v>298</v>
      </c>
      <c r="C50" s="6"/>
      <c r="D50" s="6"/>
      <c r="E50" s="6"/>
    </row>
    <row r="51">
      <c r="B51" s="6" t="s">
        <v>301</v>
      </c>
      <c r="C51" s="6"/>
      <c r="D51" s="6"/>
      <c r="E51" s="6"/>
    </row>
    <row r="52">
      <c r="B52" s="6" t="s">
        <v>303</v>
      </c>
      <c r="C52" s="6"/>
      <c r="D52" s="6"/>
      <c r="E52" s="6"/>
    </row>
    <row r="53">
      <c r="B53" s="6" t="s">
        <v>304</v>
      </c>
      <c r="C53" s="6"/>
      <c r="D53" s="6"/>
      <c r="E53" s="6"/>
    </row>
    <row r="54">
      <c r="B54" s="6" t="s">
        <v>305</v>
      </c>
      <c r="C54" s="35"/>
      <c r="D54" s="27"/>
      <c r="E54" s="27"/>
    </row>
    <row r="55">
      <c r="B55" s="35" t="s">
        <v>308</v>
      </c>
      <c r="C55" s="35"/>
      <c r="D55" s="27"/>
      <c r="E55" s="27"/>
    </row>
    <row r="56">
      <c r="B56" s="35" t="s">
        <v>310</v>
      </c>
      <c r="C56" s="35"/>
      <c r="D56" s="27"/>
      <c r="E56" s="27"/>
    </row>
  </sheetData>
  <mergeCells count="4">
    <mergeCell ref="B1:E1"/>
    <mergeCell ref="B14:E14"/>
    <mergeCell ref="B27:E27"/>
    <mergeCell ref="B43:E4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32.63"/>
    <col customWidth="1" min="3" max="42" width="11.63"/>
  </cols>
  <sheetData>
    <row r="1">
      <c r="U1" s="1"/>
      <c r="V1" s="1"/>
      <c r="W1" s="1"/>
    </row>
    <row r="2">
      <c r="B2" s="56" t="s">
        <v>350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  <c r="V2" s="1"/>
      <c r="W2" s="1"/>
      <c r="AB2" s="35" t="s">
        <v>352</v>
      </c>
      <c r="AC2" s="27">
        <f>(AC3*'Базовые таблицы'!C29/24)/100</f>
        <v>200</v>
      </c>
    </row>
    <row r="3">
      <c r="A3" s="57"/>
      <c r="B3" s="59" t="s">
        <v>356</v>
      </c>
      <c r="C3" s="59" t="s">
        <v>20</v>
      </c>
      <c r="D3" s="59" t="s">
        <v>214</v>
      </c>
      <c r="E3" s="59" t="s">
        <v>358</v>
      </c>
      <c r="F3" s="59" t="s">
        <v>359</v>
      </c>
      <c r="G3" s="59" t="s">
        <v>361</v>
      </c>
      <c r="H3" s="59" t="s">
        <v>362</v>
      </c>
      <c r="I3" s="59" t="s">
        <v>363</v>
      </c>
      <c r="J3" s="59" t="s">
        <v>364</v>
      </c>
      <c r="K3" s="59" t="s">
        <v>365</v>
      </c>
      <c r="L3" s="59" t="s">
        <v>367</v>
      </c>
      <c r="M3" s="59" t="s">
        <v>369</v>
      </c>
      <c r="N3" s="59" t="s">
        <v>370</v>
      </c>
      <c r="O3" s="59" t="s">
        <v>371</v>
      </c>
      <c r="P3" s="59" t="s">
        <v>372</v>
      </c>
      <c r="Q3" s="59" t="s">
        <v>359</v>
      </c>
      <c r="R3" s="59" t="s">
        <v>374</v>
      </c>
      <c r="S3" s="63" t="s">
        <v>375</v>
      </c>
      <c r="T3" s="3"/>
      <c r="U3" s="4"/>
      <c r="V3" s="57"/>
      <c r="W3" s="1"/>
      <c r="X3" s="1"/>
      <c r="Y3" s="64"/>
      <c r="Z3" s="57"/>
      <c r="AA3" s="57"/>
      <c r="AB3" s="65" t="s">
        <v>377</v>
      </c>
      <c r="AC3" s="65">
        <v>5000.0</v>
      </c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</row>
    <row r="4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W4" s="1"/>
      <c r="X4" s="1"/>
      <c r="Y4" s="1"/>
      <c r="AB4" s="35" t="s">
        <v>383</v>
      </c>
      <c r="AC4" s="35">
        <v>4.0</v>
      </c>
    </row>
    <row r="5">
      <c r="B5" s="6"/>
      <c r="C5" s="18"/>
      <c r="D5" s="18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W5" s="1"/>
      <c r="X5" s="1"/>
      <c r="Y5" s="1"/>
      <c r="AB5" s="35" t="s">
        <v>385</v>
      </c>
      <c r="AC5" s="27">
        <f>(AC4*'Базовые таблицы'!C30/24)/100</f>
        <v>0.08</v>
      </c>
    </row>
    <row r="6">
      <c r="B6" s="6"/>
      <c r="C6" s="18"/>
      <c r="D6" s="18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W6" s="1"/>
      <c r="X6" s="1"/>
      <c r="Y6" s="1"/>
      <c r="AB6" s="35" t="s">
        <v>390</v>
      </c>
      <c r="AC6" s="35">
        <v>5.0</v>
      </c>
    </row>
    <row r="7">
      <c r="B7" s="6"/>
      <c r="C7" s="18"/>
      <c r="D7" s="18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W7" s="1"/>
      <c r="X7" s="1"/>
      <c r="Y7" s="1"/>
      <c r="AB7" s="27"/>
      <c r="AC7" s="27"/>
    </row>
    <row r="8">
      <c r="B8" s="6"/>
      <c r="C8" s="18"/>
      <c r="D8" s="18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W8" s="1"/>
      <c r="X8" s="1"/>
      <c r="Y8" s="1"/>
      <c r="AB8" s="27"/>
      <c r="AC8" s="27"/>
    </row>
    <row r="9">
      <c r="B9" s="6"/>
      <c r="C9" s="18"/>
      <c r="D9" s="1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W9" s="1"/>
      <c r="X9" s="1"/>
      <c r="Y9" s="1"/>
      <c r="AB9" s="27"/>
      <c r="AC9" s="27"/>
    </row>
    <row r="10">
      <c r="B10" s="6"/>
      <c r="C10" s="18"/>
      <c r="D10" s="18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W10" s="1"/>
      <c r="X10" s="1"/>
      <c r="Y10" s="1"/>
      <c r="AB10" s="27"/>
      <c r="AC10" s="27"/>
    </row>
    <row r="11">
      <c r="B11" s="6"/>
      <c r="C11" s="18"/>
      <c r="D11" s="18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W11" s="1"/>
      <c r="X11" s="1"/>
      <c r="Y11" s="1"/>
      <c r="AB11" s="27"/>
      <c r="AC11" s="27"/>
    </row>
    <row r="12">
      <c r="B12" s="6"/>
      <c r="C12" s="18"/>
      <c r="D12" s="18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W12" s="1"/>
      <c r="X12" s="1"/>
      <c r="Y12" s="1"/>
      <c r="AB12" s="27"/>
      <c r="AC12" s="27"/>
    </row>
    <row r="13">
      <c r="U13" s="1"/>
      <c r="V13" s="1"/>
      <c r="W13" s="1"/>
      <c r="AB13" s="27"/>
      <c r="AC13" s="27"/>
    </row>
    <row r="14">
      <c r="U14" s="1"/>
      <c r="V14" s="1"/>
      <c r="W14" s="1"/>
      <c r="AB14" s="27"/>
      <c r="AC14" s="27"/>
    </row>
    <row r="15">
      <c r="B15" s="56" t="s">
        <v>404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4"/>
      <c r="AB15" s="27"/>
      <c r="AC15" s="27"/>
    </row>
    <row r="16">
      <c r="A16" s="57"/>
      <c r="B16" s="59" t="s">
        <v>356</v>
      </c>
      <c r="C16" s="59" t="s">
        <v>20</v>
      </c>
      <c r="D16" s="59" t="s">
        <v>214</v>
      </c>
      <c r="E16" s="59" t="s">
        <v>405</v>
      </c>
      <c r="F16" s="59" t="s">
        <v>406</v>
      </c>
      <c r="G16" s="59" t="s">
        <v>407</v>
      </c>
      <c r="H16" s="59" t="s">
        <v>33</v>
      </c>
      <c r="I16" s="59" t="s">
        <v>50</v>
      </c>
      <c r="J16" s="59" t="s">
        <v>62</v>
      </c>
      <c r="K16" s="59" t="s">
        <v>95</v>
      </c>
      <c r="L16" s="59" t="s">
        <v>122</v>
      </c>
      <c r="M16" s="59" t="s">
        <v>104</v>
      </c>
      <c r="N16" s="59" t="s">
        <v>409</v>
      </c>
      <c r="O16" s="59" t="s">
        <v>410</v>
      </c>
      <c r="P16" s="59" t="s">
        <v>411</v>
      </c>
      <c r="Q16" s="59" t="s">
        <v>412</v>
      </c>
      <c r="R16" s="63" t="s">
        <v>375</v>
      </c>
      <c r="S16" s="3"/>
      <c r="T16" s="3"/>
      <c r="U16" s="3"/>
      <c r="V16" s="3"/>
      <c r="W16" s="4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</row>
    <row r="17">
      <c r="B17" s="6" t="s">
        <v>415</v>
      </c>
      <c r="C17" s="6" t="s">
        <v>45</v>
      </c>
      <c r="D17" s="6">
        <v>0.8</v>
      </c>
      <c r="E17" s="6" t="s">
        <v>416</v>
      </c>
      <c r="F17" s="6">
        <v>5.0</v>
      </c>
      <c r="G17" s="35" t="s">
        <v>417</v>
      </c>
      <c r="H17" s="6"/>
      <c r="I17" s="6">
        <v>4.0</v>
      </c>
      <c r="J17" s="6">
        <v>0.0</v>
      </c>
      <c r="K17" s="27"/>
      <c r="L17" s="27"/>
      <c r="M17" s="27"/>
      <c r="N17" s="27"/>
      <c r="O17" s="6" t="s">
        <v>419</v>
      </c>
      <c r="P17" s="6" t="s">
        <v>420</v>
      </c>
      <c r="Q17" s="7">
        <v>0.5</v>
      </c>
      <c r="R17" s="6"/>
      <c r="S17" s="6"/>
      <c r="T17" s="6"/>
      <c r="U17" s="18"/>
      <c r="V17" s="18"/>
      <c r="W17" s="18"/>
    </row>
    <row r="18">
      <c r="B18" s="6" t="s">
        <v>422</v>
      </c>
      <c r="C18" s="6" t="s">
        <v>45</v>
      </c>
      <c r="D18" s="6">
        <v>0.7</v>
      </c>
      <c r="E18" s="6" t="s">
        <v>416</v>
      </c>
      <c r="F18" s="6">
        <v>5.0</v>
      </c>
      <c r="G18" s="35" t="s">
        <v>417</v>
      </c>
      <c r="H18" s="6"/>
      <c r="I18" s="6">
        <v>6.0</v>
      </c>
      <c r="J18" s="6">
        <v>-1.0</v>
      </c>
      <c r="K18" s="27"/>
      <c r="L18" s="27"/>
      <c r="M18" s="27"/>
      <c r="N18" s="27"/>
      <c r="O18" s="6" t="s">
        <v>419</v>
      </c>
      <c r="P18" s="6" t="s">
        <v>420</v>
      </c>
      <c r="Q18" s="7">
        <v>0.25</v>
      </c>
      <c r="R18" s="6"/>
      <c r="S18" s="6"/>
      <c r="T18" s="6"/>
      <c r="U18" s="18"/>
      <c r="V18" s="18"/>
      <c r="W18" s="18"/>
    </row>
    <row r="19">
      <c r="B19" s="6" t="s">
        <v>424</v>
      </c>
      <c r="C19" s="6" t="s">
        <v>45</v>
      </c>
      <c r="D19" s="6">
        <v>0.5</v>
      </c>
      <c r="E19" s="6" t="s">
        <v>416</v>
      </c>
      <c r="F19" s="6">
        <v>10.0</v>
      </c>
      <c r="G19" s="35" t="s">
        <v>417</v>
      </c>
      <c r="H19" s="6"/>
      <c r="I19" s="6">
        <v>5.0</v>
      </c>
      <c r="J19" s="6">
        <v>-3.0</v>
      </c>
      <c r="K19" s="27"/>
      <c r="L19" s="27"/>
      <c r="M19" s="27"/>
      <c r="N19" s="27"/>
      <c r="O19" s="6" t="s">
        <v>419</v>
      </c>
      <c r="P19" s="6" t="s">
        <v>419</v>
      </c>
      <c r="Q19" s="7">
        <v>0.0</v>
      </c>
      <c r="R19" s="6"/>
      <c r="S19" s="6"/>
      <c r="T19" s="6"/>
      <c r="U19" s="18"/>
      <c r="V19" s="18"/>
      <c r="W19" s="18"/>
    </row>
    <row r="20">
      <c r="B20" s="6" t="s">
        <v>426</v>
      </c>
      <c r="C20" s="6" t="s">
        <v>45</v>
      </c>
      <c r="D20" s="6">
        <v>0.6</v>
      </c>
      <c r="E20" s="6" t="s">
        <v>416</v>
      </c>
      <c r="F20" s="6">
        <v>5.0</v>
      </c>
      <c r="G20" s="35" t="s">
        <v>417</v>
      </c>
      <c r="H20" s="6"/>
      <c r="I20" s="6">
        <v>3.0</v>
      </c>
      <c r="J20" s="6">
        <v>0.0</v>
      </c>
      <c r="K20" s="27"/>
      <c r="L20" s="27"/>
      <c r="M20" s="27"/>
      <c r="N20" s="27"/>
      <c r="O20" s="6" t="s">
        <v>419</v>
      </c>
      <c r="P20" s="6" t="s">
        <v>420</v>
      </c>
      <c r="Q20" s="7">
        <v>0.75</v>
      </c>
      <c r="R20" s="6"/>
      <c r="S20" s="6"/>
      <c r="T20" s="6"/>
      <c r="U20" s="18"/>
      <c r="V20" s="18"/>
      <c r="W20" s="18"/>
    </row>
    <row r="21">
      <c r="B21" s="6" t="s">
        <v>427</v>
      </c>
      <c r="C21" s="6" t="s">
        <v>45</v>
      </c>
      <c r="D21" s="6">
        <v>0.5</v>
      </c>
      <c r="E21" s="6" t="s">
        <v>416</v>
      </c>
      <c r="F21" s="6">
        <v>5.0</v>
      </c>
      <c r="G21" s="35" t="s">
        <v>417</v>
      </c>
      <c r="H21" s="6"/>
      <c r="I21" s="6">
        <v>4.0</v>
      </c>
      <c r="J21" s="6">
        <v>-1.0</v>
      </c>
      <c r="K21" s="27"/>
      <c r="L21" s="27"/>
      <c r="M21" s="27"/>
      <c r="N21" s="27"/>
      <c r="O21" s="6" t="s">
        <v>419</v>
      </c>
      <c r="P21" s="6" t="s">
        <v>420</v>
      </c>
      <c r="Q21" s="7">
        <v>0.5</v>
      </c>
      <c r="R21" s="6"/>
      <c r="S21" s="6"/>
      <c r="T21" s="6"/>
      <c r="U21" s="18"/>
      <c r="V21" s="18"/>
      <c r="W21" s="18"/>
    </row>
    <row r="22">
      <c r="B22" s="6" t="s">
        <v>428</v>
      </c>
      <c r="C22" s="6" t="s">
        <v>45</v>
      </c>
      <c r="D22" s="6">
        <v>0.3</v>
      </c>
      <c r="E22" s="6" t="s">
        <v>416</v>
      </c>
      <c r="F22" s="6">
        <v>10.0</v>
      </c>
      <c r="G22" s="35" t="s">
        <v>417</v>
      </c>
      <c r="H22" s="6"/>
      <c r="I22" s="6">
        <v>3.0</v>
      </c>
      <c r="J22" s="6">
        <v>-2.0</v>
      </c>
      <c r="K22" s="27"/>
      <c r="L22" s="27"/>
      <c r="M22" s="27"/>
      <c r="N22" s="27"/>
      <c r="O22" s="6" t="s">
        <v>419</v>
      </c>
      <c r="P22" s="6" t="s">
        <v>420</v>
      </c>
      <c r="Q22" s="7">
        <v>0.1</v>
      </c>
      <c r="R22" s="6"/>
      <c r="S22" s="6"/>
      <c r="T22" s="6"/>
      <c r="U22" s="18"/>
      <c r="V22" s="18"/>
      <c r="W22" s="18"/>
    </row>
    <row r="23">
      <c r="B23" s="6" t="s">
        <v>429</v>
      </c>
      <c r="C23" s="6" t="s">
        <v>45</v>
      </c>
      <c r="D23" s="6">
        <v>0.05</v>
      </c>
      <c r="E23" s="6" t="s">
        <v>416</v>
      </c>
      <c r="F23" s="6">
        <v>100.0</v>
      </c>
      <c r="G23" s="35" t="s">
        <v>417</v>
      </c>
      <c r="H23" s="6"/>
      <c r="I23" s="6">
        <v>1.0</v>
      </c>
      <c r="J23" s="6">
        <v>1.0</v>
      </c>
      <c r="K23" s="27"/>
      <c r="L23" s="27"/>
      <c r="M23" s="27"/>
      <c r="N23" s="27"/>
      <c r="O23" s="6" t="s">
        <v>419</v>
      </c>
      <c r="P23" s="6" t="s">
        <v>420</v>
      </c>
      <c r="Q23" s="7">
        <v>0.2</v>
      </c>
      <c r="R23" s="6" t="s">
        <v>430</v>
      </c>
      <c r="S23" s="6"/>
      <c r="T23" s="6"/>
      <c r="U23" s="18"/>
      <c r="V23" s="18"/>
      <c r="W23" s="18"/>
    </row>
    <row r="24">
      <c r="B24" s="6" t="s">
        <v>431</v>
      </c>
      <c r="C24" s="6" t="s">
        <v>45</v>
      </c>
      <c r="D24" s="6">
        <v>0.1</v>
      </c>
      <c r="E24" s="6" t="s">
        <v>416</v>
      </c>
      <c r="F24" s="6">
        <v>50.0</v>
      </c>
      <c r="G24" s="35" t="s">
        <v>417</v>
      </c>
      <c r="H24" s="6"/>
      <c r="I24" s="6">
        <v>1.0</v>
      </c>
      <c r="J24" s="6">
        <v>0.0</v>
      </c>
      <c r="K24" s="27"/>
      <c r="L24" s="27"/>
      <c r="M24" s="27"/>
      <c r="N24" s="27"/>
      <c r="O24" s="6" t="s">
        <v>419</v>
      </c>
      <c r="P24" s="6" t="s">
        <v>420</v>
      </c>
      <c r="Q24" s="7">
        <v>0.5</v>
      </c>
      <c r="R24" s="6" t="s">
        <v>432</v>
      </c>
      <c r="S24" s="6"/>
      <c r="T24" s="6"/>
      <c r="U24" s="18"/>
      <c r="V24" s="18"/>
      <c r="W24" s="18"/>
    </row>
    <row r="25">
      <c r="B25" s="6" t="s">
        <v>433</v>
      </c>
      <c r="C25" s="6" t="s">
        <v>45</v>
      </c>
      <c r="D25" s="6">
        <v>0.08</v>
      </c>
      <c r="E25" s="6" t="s">
        <v>416</v>
      </c>
      <c r="F25" s="6">
        <v>75.0</v>
      </c>
      <c r="G25" s="35" t="s">
        <v>417</v>
      </c>
      <c r="H25" s="6"/>
      <c r="I25" s="6">
        <v>2.0</v>
      </c>
      <c r="J25" s="6">
        <v>0.0</v>
      </c>
      <c r="K25" s="27"/>
      <c r="L25" s="27"/>
      <c r="M25" s="27"/>
      <c r="N25" s="27"/>
      <c r="O25" s="6" t="s">
        <v>419</v>
      </c>
      <c r="P25" s="6" t="s">
        <v>420</v>
      </c>
      <c r="Q25" s="7">
        <v>0.25</v>
      </c>
      <c r="R25" s="6" t="s">
        <v>434</v>
      </c>
      <c r="S25" s="6"/>
      <c r="T25" s="6"/>
      <c r="U25" s="18"/>
      <c r="V25" s="18"/>
      <c r="W25" s="18"/>
    </row>
    <row r="26">
      <c r="B26" s="6" t="s">
        <v>435</v>
      </c>
      <c r="C26" s="6" t="s">
        <v>45</v>
      </c>
      <c r="D26" s="6">
        <v>0.05</v>
      </c>
      <c r="E26" s="6" t="s">
        <v>416</v>
      </c>
      <c r="F26" s="6">
        <v>100.0</v>
      </c>
      <c r="G26" s="35" t="s">
        <v>417</v>
      </c>
      <c r="H26" s="6"/>
      <c r="I26" s="6">
        <v>2.0</v>
      </c>
      <c r="J26" s="6">
        <v>0.0</v>
      </c>
      <c r="K26" s="27"/>
      <c r="L26" s="27"/>
      <c r="M26" s="27"/>
      <c r="N26" s="27"/>
      <c r="O26" s="6" t="s">
        <v>419</v>
      </c>
      <c r="P26" s="6" t="s">
        <v>419</v>
      </c>
      <c r="Q26" s="7">
        <v>0.0</v>
      </c>
      <c r="R26" s="6" t="s">
        <v>436</v>
      </c>
      <c r="S26" s="6"/>
      <c r="T26" s="6"/>
      <c r="U26" s="18"/>
      <c r="V26" s="18"/>
      <c r="W26" s="18"/>
    </row>
    <row r="27">
      <c r="B27" s="6" t="s">
        <v>437</v>
      </c>
      <c r="C27" s="6" t="s">
        <v>45</v>
      </c>
      <c r="D27" s="6">
        <v>0.2</v>
      </c>
      <c r="E27" s="6" t="s">
        <v>416</v>
      </c>
      <c r="F27" s="6">
        <v>25.0</v>
      </c>
      <c r="G27" s="35" t="s">
        <v>417</v>
      </c>
      <c r="H27" s="6"/>
      <c r="I27" s="6">
        <v>2.0</v>
      </c>
      <c r="J27" s="6">
        <v>0.0</v>
      </c>
      <c r="K27" s="27"/>
      <c r="L27" s="27"/>
      <c r="M27" s="27"/>
      <c r="N27" s="27"/>
      <c r="O27" s="6" t="s">
        <v>419</v>
      </c>
      <c r="P27" s="6" t="s">
        <v>420</v>
      </c>
      <c r="Q27" s="7">
        <v>0.5</v>
      </c>
      <c r="R27" s="6" t="s">
        <v>438</v>
      </c>
      <c r="S27" s="6"/>
      <c r="T27" s="6"/>
      <c r="U27" s="18"/>
      <c r="V27" s="18"/>
      <c r="W27" s="18"/>
    </row>
    <row r="28">
      <c r="B28" s="6" t="s">
        <v>439</v>
      </c>
      <c r="C28" s="6" t="s">
        <v>45</v>
      </c>
      <c r="D28" s="6">
        <v>0.1</v>
      </c>
      <c r="E28" s="6" t="s">
        <v>416</v>
      </c>
      <c r="F28" s="6">
        <v>50.0</v>
      </c>
      <c r="G28" s="35" t="s">
        <v>417</v>
      </c>
      <c r="H28" s="6"/>
      <c r="I28" s="6">
        <v>5.0</v>
      </c>
      <c r="J28" s="6">
        <v>-1.0</v>
      </c>
      <c r="K28" s="27"/>
      <c r="L28" s="27"/>
      <c r="M28" s="27"/>
      <c r="N28" s="27"/>
      <c r="O28" s="6" t="s">
        <v>419</v>
      </c>
      <c r="P28" s="6" t="s">
        <v>420</v>
      </c>
      <c r="Q28" s="7">
        <v>0.25</v>
      </c>
      <c r="R28" s="6" t="s">
        <v>440</v>
      </c>
      <c r="S28" s="6"/>
      <c r="T28" s="6"/>
      <c r="U28" s="18"/>
      <c r="V28" s="18"/>
      <c r="W28" s="18"/>
    </row>
    <row r="29">
      <c r="B29" s="6" t="s">
        <v>441</v>
      </c>
      <c r="C29" s="6" t="s">
        <v>45</v>
      </c>
      <c r="D29" s="6">
        <v>0.07</v>
      </c>
      <c r="E29" s="6" t="s">
        <v>416</v>
      </c>
      <c r="F29" s="6">
        <v>75.0</v>
      </c>
      <c r="G29" s="35" t="s">
        <v>417</v>
      </c>
      <c r="H29" s="6"/>
      <c r="I29" s="6">
        <v>4.0</v>
      </c>
      <c r="J29" s="6">
        <v>-2.0</v>
      </c>
      <c r="K29" s="27"/>
      <c r="L29" s="27"/>
      <c r="M29" s="27"/>
      <c r="N29" s="27"/>
      <c r="O29" s="6" t="s">
        <v>419</v>
      </c>
      <c r="P29" s="6" t="s">
        <v>419</v>
      </c>
      <c r="Q29" s="7">
        <v>0.0</v>
      </c>
      <c r="R29" s="6" t="s">
        <v>442</v>
      </c>
      <c r="S29" s="6"/>
      <c r="T29" s="6"/>
      <c r="U29" s="18"/>
      <c r="V29" s="18"/>
      <c r="W29" s="18"/>
    </row>
    <row r="30">
      <c r="B30" s="6" t="s">
        <v>443</v>
      </c>
      <c r="C30" s="6" t="s">
        <v>45</v>
      </c>
      <c r="D30" s="6">
        <v>0.3</v>
      </c>
      <c r="E30" s="6" t="s">
        <v>416</v>
      </c>
      <c r="F30" s="6">
        <v>10.0</v>
      </c>
      <c r="G30" s="35" t="s">
        <v>417</v>
      </c>
      <c r="H30" s="6"/>
      <c r="I30" s="6">
        <v>2.0</v>
      </c>
      <c r="J30" s="6">
        <v>0.0</v>
      </c>
      <c r="K30" s="27"/>
      <c r="L30" s="27"/>
      <c r="M30" s="27"/>
      <c r="N30" s="27"/>
      <c r="O30" s="6" t="s">
        <v>419</v>
      </c>
      <c r="P30" s="6" t="s">
        <v>419</v>
      </c>
      <c r="Q30" s="62">
        <v>0.0</v>
      </c>
      <c r="R30" s="6"/>
      <c r="S30" s="6"/>
      <c r="T30" s="6"/>
      <c r="U30" s="18"/>
      <c r="V30" s="18"/>
      <c r="W30" s="18"/>
    </row>
    <row r="31">
      <c r="B31" s="6" t="s">
        <v>444</v>
      </c>
      <c r="C31" s="6" t="s">
        <v>45</v>
      </c>
      <c r="D31" s="6">
        <v>0.01</v>
      </c>
      <c r="E31" s="6" t="s">
        <v>416</v>
      </c>
      <c r="F31" s="6">
        <v>100.0</v>
      </c>
      <c r="G31" s="35" t="s">
        <v>417</v>
      </c>
      <c r="H31" s="6"/>
      <c r="I31" s="6">
        <v>1.0</v>
      </c>
      <c r="J31" s="6">
        <v>0.0</v>
      </c>
      <c r="K31" s="27"/>
      <c r="L31" s="27"/>
      <c r="M31" s="27"/>
      <c r="N31" s="27"/>
      <c r="O31" s="6" t="s">
        <v>419</v>
      </c>
      <c r="P31" s="6" t="s">
        <v>419</v>
      </c>
      <c r="Q31" s="62">
        <v>0.0</v>
      </c>
      <c r="R31" s="6"/>
      <c r="S31" s="6"/>
      <c r="T31" s="6"/>
      <c r="U31" s="18"/>
      <c r="V31" s="18"/>
      <c r="W31" s="18"/>
    </row>
    <row r="32">
      <c r="B32" s="6" t="s">
        <v>445</v>
      </c>
      <c r="C32" s="6" t="s">
        <v>45</v>
      </c>
      <c r="D32" s="6">
        <v>0.1</v>
      </c>
      <c r="E32" s="6" t="s">
        <v>416</v>
      </c>
      <c r="F32" s="6">
        <v>50.0</v>
      </c>
      <c r="G32" s="35" t="s">
        <v>417</v>
      </c>
      <c r="H32" s="6"/>
      <c r="I32" s="6">
        <v>2.0</v>
      </c>
      <c r="J32" s="6">
        <v>0.0</v>
      </c>
      <c r="K32" s="27"/>
      <c r="L32" s="27"/>
      <c r="M32" s="27"/>
      <c r="N32" s="27"/>
      <c r="O32" s="6" t="s">
        <v>419</v>
      </c>
      <c r="P32" s="6" t="s">
        <v>420</v>
      </c>
      <c r="Q32" s="62">
        <v>0.05</v>
      </c>
      <c r="R32" s="6"/>
      <c r="S32" s="6"/>
      <c r="T32" s="6"/>
      <c r="U32" s="18"/>
      <c r="V32" s="18"/>
      <c r="W32" s="18"/>
    </row>
    <row r="33">
      <c r="B33" s="6" t="s">
        <v>447</v>
      </c>
      <c r="C33" s="6" t="s">
        <v>45</v>
      </c>
      <c r="D33" s="6">
        <v>0.3</v>
      </c>
      <c r="E33" s="6" t="s">
        <v>416</v>
      </c>
      <c r="F33" s="6">
        <v>20.0</v>
      </c>
      <c r="G33" s="35" t="s">
        <v>417</v>
      </c>
      <c r="H33" s="6"/>
      <c r="I33" s="6">
        <v>5.0</v>
      </c>
      <c r="J33" s="6">
        <v>1.0</v>
      </c>
      <c r="K33" s="27"/>
      <c r="L33" s="27"/>
      <c r="M33" s="27"/>
      <c r="N33" s="27"/>
      <c r="O33" s="6" t="s">
        <v>419</v>
      </c>
      <c r="P33" s="6" t="s">
        <v>420</v>
      </c>
      <c r="Q33" s="62">
        <v>0.05</v>
      </c>
      <c r="R33" s="6"/>
      <c r="S33" s="6"/>
      <c r="T33" s="6"/>
      <c r="U33" s="18"/>
      <c r="V33" s="18"/>
      <c r="W33" s="18"/>
    </row>
    <row r="34">
      <c r="B34" s="6" t="s">
        <v>448</v>
      </c>
      <c r="C34" s="6" t="s">
        <v>45</v>
      </c>
      <c r="D34" s="6">
        <v>0.2</v>
      </c>
      <c r="E34" s="6" t="s">
        <v>416</v>
      </c>
      <c r="F34" s="6">
        <v>25.0</v>
      </c>
      <c r="G34" s="35" t="s">
        <v>417</v>
      </c>
      <c r="H34" s="6"/>
      <c r="I34" s="6">
        <v>2.0</v>
      </c>
      <c r="J34" s="6">
        <v>1.0</v>
      </c>
      <c r="K34" s="27"/>
      <c r="L34" s="27"/>
      <c r="M34" s="27"/>
      <c r="N34" s="27"/>
      <c r="O34" s="6" t="s">
        <v>419</v>
      </c>
      <c r="P34" s="6" t="s">
        <v>420</v>
      </c>
      <c r="Q34" s="62">
        <v>0.05</v>
      </c>
      <c r="R34" s="6"/>
      <c r="S34" s="6"/>
      <c r="T34" s="6"/>
      <c r="U34" s="18"/>
      <c r="V34" s="18"/>
      <c r="W34" s="18"/>
    </row>
    <row r="35">
      <c r="B35" s="6" t="s">
        <v>449</v>
      </c>
      <c r="C35" s="6" t="s">
        <v>45</v>
      </c>
      <c r="D35" s="6">
        <v>0.1</v>
      </c>
      <c r="E35" s="6" t="s">
        <v>416</v>
      </c>
      <c r="F35" s="6">
        <v>50.0</v>
      </c>
      <c r="G35" s="35" t="s">
        <v>417</v>
      </c>
      <c r="H35" s="6"/>
      <c r="I35" s="6">
        <v>2.0</v>
      </c>
      <c r="J35" s="6">
        <v>-1.0</v>
      </c>
      <c r="K35" s="27"/>
      <c r="L35" s="27"/>
      <c r="M35" s="27"/>
      <c r="N35" s="27"/>
      <c r="O35" s="6" t="s">
        <v>419</v>
      </c>
      <c r="P35" s="6" t="s">
        <v>419</v>
      </c>
      <c r="Q35" s="62">
        <v>0.0</v>
      </c>
      <c r="R35" s="6"/>
      <c r="S35" s="6"/>
      <c r="T35" s="6"/>
      <c r="U35" s="18"/>
      <c r="V35" s="18"/>
      <c r="W35" s="18"/>
    </row>
    <row r="36">
      <c r="B36" s="6" t="s">
        <v>450</v>
      </c>
      <c r="C36" s="6" t="s">
        <v>45</v>
      </c>
      <c r="D36" s="6">
        <v>0.2</v>
      </c>
      <c r="E36" s="6" t="s">
        <v>416</v>
      </c>
      <c r="F36" s="6">
        <v>25.0</v>
      </c>
      <c r="G36" s="35" t="s">
        <v>417</v>
      </c>
      <c r="H36" s="6"/>
      <c r="I36" s="6">
        <v>3.0</v>
      </c>
      <c r="J36" s="6">
        <v>0.0</v>
      </c>
      <c r="K36" s="27"/>
      <c r="L36" s="27"/>
      <c r="M36" s="27"/>
      <c r="N36" s="27"/>
      <c r="O36" s="6" t="s">
        <v>419</v>
      </c>
      <c r="P36" s="6" t="s">
        <v>420</v>
      </c>
      <c r="Q36" s="62">
        <v>0.1</v>
      </c>
      <c r="R36" s="6"/>
      <c r="S36" s="6"/>
      <c r="T36" s="6"/>
      <c r="U36" s="18"/>
      <c r="V36" s="18"/>
      <c r="W36" s="18"/>
    </row>
    <row r="37">
      <c r="B37" s="6" t="s">
        <v>451</v>
      </c>
      <c r="C37" s="6" t="s">
        <v>45</v>
      </c>
      <c r="D37" s="6">
        <v>0.1</v>
      </c>
      <c r="E37" s="6" t="s">
        <v>416</v>
      </c>
      <c r="F37" s="6">
        <v>50.0</v>
      </c>
      <c r="G37" s="35" t="s">
        <v>417</v>
      </c>
      <c r="H37" s="6"/>
      <c r="I37" s="6">
        <v>3.0</v>
      </c>
      <c r="J37" s="6">
        <v>-1.0</v>
      </c>
      <c r="K37" s="27"/>
      <c r="L37" s="27"/>
      <c r="M37" s="27"/>
      <c r="N37" s="27"/>
      <c r="O37" s="6" t="s">
        <v>419</v>
      </c>
      <c r="P37" s="6" t="s">
        <v>419</v>
      </c>
      <c r="Q37" s="62">
        <v>0.0</v>
      </c>
      <c r="R37" s="6"/>
      <c r="S37" s="6"/>
      <c r="T37" s="6"/>
      <c r="U37" s="18"/>
      <c r="V37" s="18"/>
      <c r="W37" s="18"/>
    </row>
    <row r="38">
      <c r="B38" s="6" t="s">
        <v>452</v>
      </c>
      <c r="C38" s="6" t="s">
        <v>45</v>
      </c>
      <c r="D38" s="6">
        <v>0.1</v>
      </c>
      <c r="E38" s="6" t="s">
        <v>416</v>
      </c>
      <c r="F38" s="6">
        <v>50.0</v>
      </c>
      <c r="G38" s="35" t="s">
        <v>417</v>
      </c>
      <c r="H38" s="6"/>
      <c r="I38" s="6">
        <v>1.0</v>
      </c>
      <c r="J38" s="6">
        <v>1.0</v>
      </c>
      <c r="K38" s="27"/>
      <c r="L38" s="27"/>
      <c r="M38" s="27"/>
      <c r="N38" s="27"/>
      <c r="O38" s="6" t="s">
        <v>419</v>
      </c>
      <c r="P38" s="6" t="s">
        <v>420</v>
      </c>
      <c r="Q38" s="62">
        <v>0.15</v>
      </c>
      <c r="R38" s="6"/>
      <c r="S38" s="6"/>
      <c r="T38" s="6"/>
      <c r="U38" s="18"/>
      <c r="V38" s="18"/>
      <c r="W38" s="18"/>
    </row>
    <row r="39">
      <c r="B39" s="6" t="s">
        <v>453</v>
      </c>
      <c r="C39" s="6" t="s">
        <v>45</v>
      </c>
      <c r="D39" s="6">
        <v>0.05</v>
      </c>
      <c r="E39" s="6" t="s">
        <v>416</v>
      </c>
      <c r="F39" s="6">
        <v>100.0</v>
      </c>
      <c r="G39" s="35" t="s">
        <v>417</v>
      </c>
      <c r="H39" s="6"/>
      <c r="I39" s="6">
        <v>1.0</v>
      </c>
      <c r="J39" s="6">
        <v>0.0</v>
      </c>
      <c r="K39" s="27"/>
      <c r="L39" s="27"/>
      <c r="M39" s="27"/>
      <c r="N39" s="27"/>
      <c r="O39" s="6" t="s">
        <v>419</v>
      </c>
      <c r="P39" s="6" t="s">
        <v>420</v>
      </c>
      <c r="Q39" s="62">
        <v>0.05</v>
      </c>
      <c r="R39" s="6"/>
      <c r="S39" s="6"/>
      <c r="T39" s="6"/>
      <c r="U39" s="18"/>
      <c r="V39" s="18"/>
      <c r="W39" s="18"/>
    </row>
    <row r="40">
      <c r="B40" s="6" t="s">
        <v>454</v>
      </c>
      <c r="C40" s="6" t="s">
        <v>45</v>
      </c>
      <c r="D40" s="6">
        <v>0.15</v>
      </c>
      <c r="E40" s="6" t="s">
        <v>416</v>
      </c>
      <c r="F40" s="6">
        <v>30.0</v>
      </c>
      <c r="G40" s="35" t="s">
        <v>417</v>
      </c>
      <c r="H40" s="6"/>
      <c r="I40" s="6">
        <v>1.0</v>
      </c>
      <c r="J40" s="6">
        <v>-1.0</v>
      </c>
      <c r="K40" s="27"/>
      <c r="L40" s="27"/>
      <c r="M40" s="27"/>
      <c r="N40" s="27"/>
      <c r="O40" s="6" t="s">
        <v>419</v>
      </c>
      <c r="P40" s="6" t="s">
        <v>419</v>
      </c>
      <c r="Q40" s="62">
        <v>0.0</v>
      </c>
      <c r="R40" s="6"/>
      <c r="S40" s="6"/>
      <c r="T40" s="6"/>
      <c r="U40" s="18"/>
      <c r="V40" s="18"/>
      <c r="W40" s="18"/>
    </row>
    <row r="41">
      <c r="B41" s="6" t="s">
        <v>455</v>
      </c>
      <c r="C41" s="6" t="s">
        <v>45</v>
      </c>
      <c r="D41" s="6">
        <v>0.15</v>
      </c>
      <c r="E41" s="6" t="s">
        <v>416</v>
      </c>
      <c r="F41" s="6">
        <v>30.0</v>
      </c>
      <c r="G41" s="35" t="s">
        <v>417</v>
      </c>
      <c r="H41" s="6"/>
      <c r="I41" s="6">
        <v>2.0</v>
      </c>
      <c r="J41" s="6">
        <v>-1.0</v>
      </c>
      <c r="K41" s="27"/>
      <c r="L41" s="27"/>
      <c r="M41" s="27"/>
      <c r="N41" s="27"/>
      <c r="O41" s="6" t="s">
        <v>419</v>
      </c>
      <c r="P41" s="6" t="s">
        <v>419</v>
      </c>
      <c r="Q41" s="62">
        <v>0.0</v>
      </c>
      <c r="R41" s="6"/>
      <c r="S41" s="6"/>
      <c r="T41" s="6"/>
      <c r="U41" s="18"/>
      <c r="V41" s="18"/>
      <c r="W41" s="18"/>
    </row>
    <row r="42">
      <c r="B42" s="6" t="s">
        <v>456</v>
      </c>
      <c r="C42" s="6" t="s">
        <v>45</v>
      </c>
      <c r="D42" s="6">
        <v>0.15</v>
      </c>
      <c r="E42" s="6" t="s">
        <v>416</v>
      </c>
      <c r="F42" s="6">
        <v>30.0</v>
      </c>
      <c r="G42" s="35" t="s">
        <v>417</v>
      </c>
      <c r="H42" s="6"/>
      <c r="I42" s="6">
        <v>3.0</v>
      </c>
      <c r="J42" s="6">
        <v>-1.0</v>
      </c>
      <c r="K42" s="27"/>
      <c r="L42" s="27"/>
      <c r="M42" s="27"/>
      <c r="N42" s="27"/>
      <c r="O42" s="6" t="s">
        <v>419</v>
      </c>
      <c r="P42" s="6" t="s">
        <v>419</v>
      </c>
      <c r="Q42" s="62">
        <v>0.0</v>
      </c>
      <c r="R42" s="6" t="s">
        <v>442</v>
      </c>
      <c r="S42" s="6"/>
      <c r="T42" s="6"/>
      <c r="U42" s="18"/>
      <c r="V42" s="18"/>
      <c r="W42" s="18"/>
    </row>
    <row r="43">
      <c r="B43" s="6" t="s">
        <v>457</v>
      </c>
      <c r="C43" s="6" t="s">
        <v>45</v>
      </c>
      <c r="D43" s="6">
        <v>0.1</v>
      </c>
      <c r="E43" s="6" t="s">
        <v>416</v>
      </c>
      <c r="F43" s="6">
        <v>50.0</v>
      </c>
      <c r="G43" s="35" t="s">
        <v>417</v>
      </c>
      <c r="H43" s="6"/>
      <c r="I43" s="6">
        <v>4.0</v>
      </c>
      <c r="J43" s="6">
        <v>-1.0</v>
      </c>
      <c r="K43" s="27"/>
      <c r="L43" s="27"/>
      <c r="M43" s="27"/>
      <c r="N43" s="27"/>
      <c r="O43" s="6" t="s">
        <v>419</v>
      </c>
      <c r="P43" s="6" t="s">
        <v>420</v>
      </c>
      <c r="Q43" s="62">
        <v>0.05</v>
      </c>
      <c r="R43" s="6"/>
      <c r="S43" s="6"/>
      <c r="T43" s="6"/>
      <c r="U43" s="18"/>
      <c r="V43" s="18"/>
      <c r="W43" s="18"/>
    </row>
    <row r="44">
      <c r="B44" s="6" t="s">
        <v>458</v>
      </c>
      <c r="C44" s="6" t="s">
        <v>45</v>
      </c>
      <c r="D44" s="18"/>
      <c r="E44" s="6" t="s">
        <v>416</v>
      </c>
      <c r="F44" s="6">
        <v>0.1</v>
      </c>
      <c r="G44" s="35" t="s">
        <v>417</v>
      </c>
      <c r="H44" s="6"/>
      <c r="I44" s="6">
        <v>1.0</v>
      </c>
      <c r="J44" s="6">
        <v>1.0</v>
      </c>
      <c r="K44" s="27"/>
      <c r="L44" s="27"/>
      <c r="M44" s="27"/>
      <c r="N44" s="27"/>
      <c r="O44" s="6" t="s">
        <v>419</v>
      </c>
      <c r="P44" s="6" t="s">
        <v>420</v>
      </c>
      <c r="Q44" s="62">
        <v>0.15</v>
      </c>
      <c r="R44" s="6"/>
      <c r="S44" s="6"/>
      <c r="T44" s="6"/>
      <c r="U44" s="18"/>
      <c r="V44" s="18"/>
      <c r="W44" s="18"/>
    </row>
    <row r="45">
      <c r="B45" s="6" t="s">
        <v>459</v>
      </c>
      <c r="C45" s="6" t="s">
        <v>45</v>
      </c>
      <c r="D45" s="6"/>
      <c r="E45" s="6" t="s">
        <v>416</v>
      </c>
      <c r="F45" s="6">
        <v>0.05</v>
      </c>
      <c r="G45" s="35" t="s">
        <v>417</v>
      </c>
      <c r="H45" s="6"/>
      <c r="I45" s="6">
        <v>1.0</v>
      </c>
      <c r="J45" s="6">
        <v>0.0</v>
      </c>
      <c r="K45" s="27"/>
      <c r="L45" s="27"/>
      <c r="M45" s="27"/>
      <c r="N45" s="27"/>
      <c r="O45" s="6" t="s">
        <v>419</v>
      </c>
      <c r="P45" s="6" t="s">
        <v>420</v>
      </c>
      <c r="Q45" s="62">
        <v>0.01</v>
      </c>
      <c r="R45" s="6"/>
      <c r="S45" s="6"/>
      <c r="T45" s="6"/>
      <c r="U45" s="18"/>
      <c r="V45" s="18"/>
      <c r="W45" s="18"/>
    </row>
    <row r="46">
      <c r="B46" s="6" t="s">
        <v>460</v>
      </c>
      <c r="C46" s="6" t="s">
        <v>45</v>
      </c>
      <c r="D46" s="6">
        <v>0.5</v>
      </c>
      <c r="E46" s="6" t="s">
        <v>416</v>
      </c>
      <c r="F46" s="6">
        <v>10.0</v>
      </c>
      <c r="G46" s="35" t="s">
        <v>417</v>
      </c>
      <c r="H46" s="6"/>
      <c r="I46" s="6">
        <v>0.0</v>
      </c>
      <c r="J46" s="6">
        <v>6.0</v>
      </c>
      <c r="K46" s="27"/>
      <c r="L46" s="27"/>
      <c r="M46" s="27"/>
      <c r="N46" s="27"/>
      <c r="O46" s="6" t="s">
        <v>420</v>
      </c>
      <c r="P46" s="6" t="s">
        <v>420</v>
      </c>
      <c r="Q46" s="62">
        <v>0.05</v>
      </c>
      <c r="R46" s="6"/>
      <c r="S46" s="6"/>
      <c r="T46" s="6"/>
      <c r="U46" s="18"/>
      <c r="V46" s="18"/>
      <c r="W46" s="18"/>
    </row>
    <row r="47">
      <c r="B47" s="6" t="s">
        <v>462</v>
      </c>
      <c r="C47" s="6" t="s">
        <v>45</v>
      </c>
      <c r="D47" s="6">
        <v>0.5</v>
      </c>
      <c r="E47" s="6" t="s">
        <v>416</v>
      </c>
      <c r="F47" s="6">
        <v>10.0</v>
      </c>
      <c r="G47" s="35" t="s">
        <v>417</v>
      </c>
      <c r="H47" s="6"/>
      <c r="I47" s="6">
        <v>0.0</v>
      </c>
      <c r="J47" s="6">
        <v>7.0</v>
      </c>
      <c r="K47" s="27"/>
      <c r="L47" s="27"/>
      <c r="M47" s="27"/>
      <c r="N47" s="27"/>
      <c r="O47" s="6" t="s">
        <v>420</v>
      </c>
      <c r="P47" s="6" t="s">
        <v>420</v>
      </c>
      <c r="Q47" s="62">
        <v>0.1</v>
      </c>
      <c r="R47" s="6" t="s">
        <v>463</v>
      </c>
      <c r="S47" s="6"/>
      <c r="T47" s="6"/>
      <c r="U47" s="18"/>
      <c r="V47" s="18"/>
      <c r="W47" s="18"/>
    </row>
    <row r="48">
      <c r="B48" s="6" t="s">
        <v>464</v>
      </c>
      <c r="C48" s="6" t="s">
        <v>45</v>
      </c>
      <c r="D48" s="6">
        <v>0.5</v>
      </c>
      <c r="E48" s="6" t="s">
        <v>416</v>
      </c>
      <c r="F48" s="6">
        <v>10.0</v>
      </c>
      <c r="G48" s="35" t="s">
        <v>417</v>
      </c>
      <c r="H48" s="6"/>
      <c r="I48" s="6">
        <v>0.0</v>
      </c>
      <c r="J48" s="6">
        <v>5.0</v>
      </c>
      <c r="K48" s="27"/>
      <c r="L48" s="27"/>
      <c r="M48" s="27"/>
      <c r="N48" s="27"/>
      <c r="O48" s="6" t="s">
        <v>419</v>
      </c>
      <c r="P48" s="6" t="s">
        <v>420</v>
      </c>
      <c r="Q48" s="62">
        <v>0.15</v>
      </c>
      <c r="R48" s="6" t="s">
        <v>465</v>
      </c>
      <c r="S48" s="6"/>
      <c r="T48" s="6"/>
      <c r="U48" s="18"/>
      <c r="V48" s="18"/>
      <c r="W48" s="18"/>
    </row>
    <row r="49">
      <c r="B49" s="6" t="s">
        <v>466</v>
      </c>
      <c r="C49" s="6" t="s">
        <v>45</v>
      </c>
      <c r="D49" s="6">
        <v>0.5</v>
      </c>
      <c r="E49" s="6" t="s">
        <v>416</v>
      </c>
      <c r="F49" s="6">
        <v>10.0</v>
      </c>
      <c r="G49" s="35" t="s">
        <v>417</v>
      </c>
      <c r="H49" s="6"/>
      <c r="I49" s="6">
        <v>0.0</v>
      </c>
      <c r="J49" s="6">
        <v>5.0</v>
      </c>
      <c r="K49" s="27"/>
      <c r="L49" s="27"/>
      <c r="M49" s="27"/>
      <c r="N49" s="27"/>
      <c r="O49" s="6" t="s">
        <v>419</v>
      </c>
      <c r="P49" s="6" t="s">
        <v>420</v>
      </c>
      <c r="Q49" s="62">
        <v>0.15</v>
      </c>
      <c r="R49" s="6" t="s">
        <v>463</v>
      </c>
      <c r="S49" s="6" t="s">
        <v>467</v>
      </c>
      <c r="T49" s="6"/>
      <c r="U49" s="18"/>
      <c r="V49" s="18"/>
      <c r="W49" s="18"/>
    </row>
    <row r="50">
      <c r="B50" s="6" t="s">
        <v>468</v>
      </c>
      <c r="C50" s="6" t="s">
        <v>45</v>
      </c>
      <c r="D50" s="6">
        <v>0.5</v>
      </c>
      <c r="E50" s="6" t="s">
        <v>416</v>
      </c>
      <c r="F50" s="6">
        <v>10.0</v>
      </c>
      <c r="G50" s="35" t="s">
        <v>417</v>
      </c>
      <c r="H50" s="6"/>
      <c r="I50" s="6">
        <v>0.0</v>
      </c>
      <c r="J50" s="6">
        <v>5.0</v>
      </c>
      <c r="K50" s="27"/>
      <c r="L50" s="27"/>
      <c r="M50" s="27"/>
      <c r="N50" s="27"/>
      <c r="O50" s="6" t="s">
        <v>419</v>
      </c>
      <c r="P50" s="6" t="s">
        <v>420</v>
      </c>
      <c r="Q50" s="62">
        <v>0.15</v>
      </c>
      <c r="R50" s="6" t="s">
        <v>469</v>
      </c>
      <c r="S50" s="6" t="s">
        <v>470</v>
      </c>
      <c r="T50" s="6"/>
      <c r="U50" s="18"/>
      <c r="V50" s="18"/>
      <c r="W50" s="18"/>
    </row>
    <row r="51">
      <c r="B51" s="6" t="s">
        <v>471</v>
      </c>
      <c r="C51" s="6" t="s">
        <v>45</v>
      </c>
      <c r="D51" s="6">
        <v>0.5</v>
      </c>
      <c r="E51" s="6" t="s">
        <v>416</v>
      </c>
      <c r="F51" s="6">
        <v>10.0</v>
      </c>
      <c r="G51" s="35" t="s">
        <v>417</v>
      </c>
      <c r="H51" s="6"/>
      <c r="I51" s="6">
        <v>0.0</v>
      </c>
      <c r="J51" s="6">
        <v>4.0</v>
      </c>
      <c r="K51" s="27"/>
      <c r="L51" s="27"/>
      <c r="M51" s="27"/>
      <c r="N51" s="27"/>
      <c r="O51" s="6" t="s">
        <v>419</v>
      </c>
      <c r="P51" s="6" t="s">
        <v>420</v>
      </c>
      <c r="Q51" s="62">
        <v>0.15</v>
      </c>
      <c r="R51" s="6" t="s">
        <v>472</v>
      </c>
      <c r="S51" s="6" t="s">
        <v>470</v>
      </c>
      <c r="T51" s="6"/>
      <c r="U51" s="18"/>
      <c r="V51" s="18"/>
      <c r="W51" s="18"/>
    </row>
    <row r="52">
      <c r="B52" s="6" t="s">
        <v>473</v>
      </c>
      <c r="C52" s="6" t="s">
        <v>45</v>
      </c>
      <c r="D52" s="6">
        <v>0.5</v>
      </c>
      <c r="E52" s="6" t="s">
        <v>416</v>
      </c>
      <c r="F52" s="6">
        <v>10.0</v>
      </c>
      <c r="G52" s="35" t="s">
        <v>417</v>
      </c>
      <c r="H52" s="6"/>
      <c r="I52" s="6">
        <v>0.0</v>
      </c>
      <c r="J52" s="6">
        <v>4.0</v>
      </c>
      <c r="K52" s="27"/>
      <c r="L52" s="27"/>
      <c r="M52" s="27"/>
      <c r="N52" s="27"/>
      <c r="O52" s="6" t="s">
        <v>419</v>
      </c>
      <c r="P52" s="6" t="s">
        <v>420</v>
      </c>
      <c r="Q52" s="62">
        <v>0.15</v>
      </c>
      <c r="R52" s="6" t="s">
        <v>469</v>
      </c>
      <c r="S52" s="6" t="s">
        <v>470</v>
      </c>
      <c r="T52" s="6"/>
      <c r="U52" s="18"/>
      <c r="V52" s="18"/>
      <c r="W52" s="18"/>
    </row>
    <row r="53">
      <c r="B53" s="6" t="s">
        <v>474</v>
      </c>
      <c r="C53" s="6" t="s">
        <v>45</v>
      </c>
      <c r="D53" s="6">
        <v>0.5</v>
      </c>
      <c r="E53" s="6" t="s">
        <v>416</v>
      </c>
      <c r="F53" s="6">
        <v>10.0</v>
      </c>
      <c r="G53" s="35" t="s">
        <v>417</v>
      </c>
      <c r="H53" s="6"/>
      <c r="I53" s="6">
        <v>0.0</v>
      </c>
      <c r="J53" s="6">
        <v>4.0</v>
      </c>
      <c r="K53" s="27"/>
      <c r="L53" s="27"/>
      <c r="M53" s="27"/>
      <c r="N53" s="27"/>
      <c r="O53" s="6" t="s">
        <v>419</v>
      </c>
      <c r="P53" s="6" t="s">
        <v>420</v>
      </c>
      <c r="Q53" s="62">
        <v>0.25</v>
      </c>
      <c r="R53" s="6" t="s">
        <v>475</v>
      </c>
      <c r="S53" s="6" t="s">
        <v>470</v>
      </c>
      <c r="T53" s="6"/>
      <c r="U53" s="18"/>
      <c r="V53" s="18"/>
      <c r="W53" s="18"/>
    </row>
    <row r="54">
      <c r="B54" s="6" t="s">
        <v>476</v>
      </c>
      <c r="C54" s="6" t="s">
        <v>45</v>
      </c>
      <c r="D54" s="6">
        <v>0.5</v>
      </c>
      <c r="E54" s="6" t="s">
        <v>416</v>
      </c>
      <c r="F54" s="6">
        <v>10.0</v>
      </c>
      <c r="G54" s="35" t="s">
        <v>417</v>
      </c>
      <c r="H54" s="6"/>
      <c r="I54" s="6">
        <v>0.0</v>
      </c>
      <c r="J54" s="6">
        <v>3.0</v>
      </c>
      <c r="K54" s="27"/>
      <c r="L54" s="27"/>
      <c r="M54" s="27"/>
      <c r="N54" s="27"/>
      <c r="O54" s="6" t="s">
        <v>419</v>
      </c>
      <c r="P54" s="6" t="s">
        <v>420</v>
      </c>
      <c r="Q54" s="62">
        <v>0.05</v>
      </c>
      <c r="R54" s="6" t="s">
        <v>477</v>
      </c>
      <c r="S54" s="6" t="s">
        <v>470</v>
      </c>
      <c r="T54" s="6"/>
      <c r="U54" s="18"/>
      <c r="V54" s="18"/>
      <c r="W54" s="18"/>
    </row>
    <row r="55">
      <c r="B55" s="6" t="s">
        <v>478</v>
      </c>
      <c r="C55" s="6" t="s">
        <v>45</v>
      </c>
      <c r="D55" s="6">
        <v>0.05</v>
      </c>
      <c r="E55" s="6" t="s">
        <v>416</v>
      </c>
      <c r="F55" s="6">
        <v>100.0</v>
      </c>
      <c r="G55" s="35" t="s">
        <v>479</v>
      </c>
      <c r="H55" s="6">
        <v>1.0</v>
      </c>
      <c r="I55" s="6">
        <v>0.0</v>
      </c>
      <c r="J55" s="6">
        <v>0.0</v>
      </c>
      <c r="K55" s="27"/>
      <c r="L55" s="27"/>
      <c r="M55" s="27"/>
      <c r="N55" s="27"/>
      <c r="O55" s="6" t="s">
        <v>419</v>
      </c>
      <c r="P55" s="6" t="s">
        <v>420</v>
      </c>
      <c r="Q55" s="62">
        <v>0.05</v>
      </c>
      <c r="R55" s="6" t="s">
        <v>480</v>
      </c>
      <c r="S55" s="6"/>
      <c r="T55" s="6"/>
      <c r="U55" s="18"/>
      <c r="V55" s="18"/>
      <c r="W55" s="18"/>
    </row>
    <row r="56">
      <c r="B56" s="6" t="s">
        <v>481</v>
      </c>
      <c r="C56" s="6" t="s">
        <v>45</v>
      </c>
      <c r="D56" s="6">
        <v>0.1</v>
      </c>
      <c r="E56" s="6" t="s">
        <v>416</v>
      </c>
      <c r="F56" s="6">
        <v>50.0</v>
      </c>
      <c r="G56" s="35" t="s">
        <v>479</v>
      </c>
      <c r="H56" s="6">
        <v>-1.0</v>
      </c>
      <c r="I56" s="6">
        <v>0.0</v>
      </c>
      <c r="J56" s="6">
        <v>0.0</v>
      </c>
      <c r="K56" s="27"/>
      <c r="L56" s="27"/>
      <c r="M56" s="27"/>
      <c r="N56" s="27"/>
      <c r="O56" s="6" t="s">
        <v>419</v>
      </c>
      <c r="P56" s="6" t="s">
        <v>420</v>
      </c>
      <c r="Q56" s="62">
        <v>0.05</v>
      </c>
      <c r="R56" s="6" t="s">
        <v>482</v>
      </c>
      <c r="S56" s="6"/>
      <c r="T56" s="6"/>
      <c r="U56" s="18"/>
      <c r="V56" s="18"/>
      <c r="W56" s="18"/>
    </row>
    <row r="57">
      <c r="B57" s="6" t="s">
        <v>483</v>
      </c>
      <c r="C57" s="6" t="s">
        <v>45</v>
      </c>
      <c r="D57" s="6">
        <v>0.03</v>
      </c>
      <c r="E57" s="6" t="s">
        <v>416</v>
      </c>
      <c r="F57" s="6">
        <v>150.0</v>
      </c>
      <c r="G57" s="35" t="s">
        <v>417</v>
      </c>
      <c r="H57" s="6"/>
      <c r="I57" s="6"/>
      <c r="J57" s="6"/>
      <c r="K57" s="27"/>
      <c r="L57" s="27"/>
      <c r="M57" s="35">
        <v>-1.0</v>
      </c>
      <c r="N57" s="27"/>
      <c r="O57" s="6" t="s">
        <v>419</v>
      </c>
      <c r="P57" s="6" t="s">
        <v>420</v>
      </c>
      <c r="Q57" s="62">
        <v>0.05</v>
      </c>
      <c r="R57" s="6"/>
      <c r="S57" s="6"/>
      <c r="T57" s="6"/>
      <c r="U57" s="18"/>
      <c r="V57" s="18"/>
      <c r="W57" s="18"/>
    </row>
    <row r="58">
      <c r="B58" s="6" t="s">
        <v>484</v>
      </c>
      <c r="C58" s="6" t="s">
        <v>45</v>
      </c>
      <c r="D58" s="6">
        <v>0.1</v>
      </c>
      <c r="E58" s="6" t="s">
        <v>416</v>
      </c>
      <c r="F58" s="6">
        <v>50.0</v>
      </c>
      <c r="G58" s="35" t="s">
        <v>417</v>
      </c>
      <c r="H58" s="6">
        <v>-1.0</v>
      </c>
      <c r="I58" s="6">
        <v>1.0</v>
      </c>
      <c r="J58" s="6"/>
      <c r="K58" s="27"/>
      <c r="L58" s="27"/>
      <c r="M58" s="35">
        <v>-2.0</v>
      </c>
      <c r="N58" s="27"/>
      <c r="O58" s="6" t="s">
        <v>419</v>
      </c>
      <c r="P58" s="6" t="s">
        <v>420</v>
      </c>
      <c r="Q58" s="62">
        <v>0.1</v>
      </c>
      <c r="R58" s="6"/>
      <c r="S58" s="6"/>
      <c r="T58" s="6"/>
      <c r="U58" s="18"/>
      <c r="V58" s="18"/>
      <c r="W58" s="18"/>
    </row>
    <row r="59">
      <c r="B59" s="6" t="s">
        <v>485</v>
      </c>
      <c r="C59" s="6" t="s">
        <v>45</v>
      </c>
      <c r="D59" s="6">
        <v>0.5</v>
      </c>
      <c r="E59" s="6" t="s">
        <v>416</v>
      </c>
      <c r="F59" s="6">
        <v>10.0</v>
      </c>
      <c r="G59" s="35" t="s">
        <v>479</v>
      </c>
      <c r="H59" s="6"/>
      <c r="I59" s="6"/>
      <c r="J59" s="6"/>
      <c r="K59" s="27"/>
      <c r="L59" s="35">
        <v>5.0</v>
      </c>
      <c r="M59" s="35">
        <v>-3.0</v>
      </c>
      <c r="N59" s="27"/>
      <c r="O59" s="6" t="s">
        <v>419</v>
      </c>
      <c r="P59" s="6" t="s">
        <v>420</v>
      </c>
      <c r="Q59" s="62">
        <v>0.25</v>
      </c>
      <c r="R59" s="6" t="s">
        <v>486</v>
      </c>
      <c r="S59" s="6"/>
      <c r="T59" s="6"/>
      <c r="U59" s="18"/>
      <c r="V59" s="18"/>
      <c r="W59" s="18"/>
    </row>
    <row r="60">
      <c r="B60" s="6" t="s">
        <v>487</v>
      </c>
      <c r="C60" s="6" t="s">
        <v>45</v>
      </c>
      <c r="D60" s="6">
        <v>0.07</v>
      </c>
      <c r="E60" s="6" t="s">
        <v>416</v>
      </c>
      <c r="F60" s="6">
        <v>75.0</v>
      </c>
      <c r="G60" s="35" t="s">
        <v>417</v>
      </c>
      <c r="H60" s="6">
        <v>-1.0</v>
      </c>
      <c r="I60" s="6"/>
      <c r="J60" s="6"/>
      <c r="K60" s="27"/>
      <c r="L60" s="27"/>
      <c r="M60" s="35">
        <v>-5.0</v>
      </c>
      <c r="N60" s="35">
        <v>-10.0</v>
      </c>
      <c r="O60" s="6" t="s">
        <v>419</v>
      </c>
      <c r="P60" s="6" t="s">
        <v>420</v>
      </c>
      <c r="Q60" s="62">
        <v>0.05</v>
      </c>
      <c r="R60" s="6"/>
      <c r="S60" s="6"/>
      <c r="T60" s="6"/>
      <c r="U60" s="18"/>
      <c r="V60" s="18"/>
      <c r="W60" s="18"/>
    </row>
    <row r="61">
      <c r="B61" s="6" t="s">
        <v>488</v>
      </c>
      <c r="C61" s="6" t="s">
        <v>81</v>
      </c>
      <c r="D61" s="6">
        <v>0.5</v>
      </c>
      <c r="E61" s="6" t="s">
        <v>416</v>
      </c>
      <c r="F61" s="6">
        <v>10.0</v>
      </c>
      <c r="G61" s="35" t="s">
        <v>417</v>
      </c>
      <c r="H61" s="6"/>
      <c r="I61" s="6">
        <v>0.0</v>
      </c>
      <c r="J61" s="6">
        <v>3.0</v>
      </c>
      <c r="K61" s="27"/>
      <c r="L61" s="27"/>
      <c r="M61" s="35">
        <v>-25.0</v>
      </c>
      <c r="N61" s="35">
        <v>-20.0</v>
      </c>
      <c r="O61" s="6" t="s">
        <v>420</v>
      </c>
      <c r="P61" s="6" t="s">
        <v>420</v>
      </c>
      <c r="Q61" s="62">
        <v>0.05</v>
      </c>
      <c r="R61" s="6"/>
      <c r="S61" s="6"/>
      <c r="T61" s="6"/>
      <c r="U61" s="18"/>
      <c r="V61" s="18"/>
      <c r="W61" s="18"/>
    </row>
    <row r="62">
      <c r="B62" s="6" t="s">
        <v>489</v>
      </c>
      <c r="C62" s="6" t="s">
        <v>45</v>
      </c>
      <c r="D62" s="6">
        <v>0.2</v>
      </c>
      <c r="E62" s="6" t="s">
        <v>416</v>
      </c>
      <c r="F62" s="6">
        <v>25.0</v>
      </c>
      <c r="G62" s="35" t="s">
        <v>479</v>
      </c>
      <c r="H62" s="6"/>
      <c r="I62" s="6"/>
      <c r="J62" s="6"/>
      <c r="K62" s="27"/>
      <c r="L62" s="35">
        <v>-5.0</v>
      </c>
      <c r="M62" s="27"/>
      <c r="N62" s="27"/>
      <c r="O62" s="6" t="s">
        <v>419</v>
      </c>
      <c r="P62" s="6" t="s">
        <v>420</v>
      </c>
      <c r="Q62" s="62">
        <v>0.01</v>
      </c>
      <c r="R62" s="6"/>
      <c r="S62" s="6"/>
      <c r="T62" s="6"/>
      <c r="U62" s="18"/>
      <c r="V62" s="18"/>
      <c r="W62" s="18"/>
    </row>
    <row r="63">
      <c r="B63" s="6" t="s">
        <v>490</v>
      </c>
      <c r="C63" s="6" t="s">
        <v>81</v>
      </c>
      <c r="D63" s="6">
        <v>0.5</v>
      </c>
      <c r="E63" s="6" t="s">
        <v>416</v>
      </c>
      <c r="F63" s="6">
        <v>10.0</v>
      </c>
      <c r="G63" s="35" t="s">
        <v>417</v>
      </c>
      <c r="H63" s="6"/>
      <c r="I63" s="6">
        <v>0.0</v>
      </c>
      <c r="J63" s="6">
        <v>3.0</v>
      </c>
      <c r="K63" s="27"/>
      <c r="L63" s="35">
        <v>-25.0</v>
      </c>
      <c r="M63" s="27"/>
      <c r="N63" s="27"/>
      <c r="O63" s="6" t="s">
        <v>420</v>
      </c>
      <c r="P63" s="6" t="s">
        <v>420</v>
      </c>
      <c r="Q63" s="62">
        <v>0.05</v>
      </c>
      <c r="R63" s="6"/>
      <c r="S63" s="6"/>
      <c r="T63" s="6"/>
      <c r="U63" s="18"/>
      <c r="V63" s="18"/>
      <c r="W63" s="18"/>
    </row>
    <row r="64">
      <c r="B64" s="6" t="s">
        <v>492</v>
      </c>
      <c r="C64" s="6" t="s">
        <v>45</v>
      </c>
      <c r="D64" s="6">
        <v>0.05</v>
      </c>
      <c r="E64" s="6" t="s">
        <v>416</v>
      </c>
      <c r="F64" s="6">
        <v>100.0</v>
      </c>
      <c r="G64" s="35" t="s">
        <v>417</v>
      </c>
      <c r="H64" s="6"/>
      <c r="I64" s="6"/>
      <c r="J64" s="6"/>
      <c r="K64" s="27"/>
      <c r="L64" s="35">
        <v>-1.0</v>
      </c>
      <c r="M64" s="35">
        <v>-1.0</v>
      </c>
      <c r="N64" s="27"/>
      <c r="O64" s="6" t="s">
        <v>419</v>
      </c>
      <c r="P64" s="6" t="s">
        <v>420</v>
      </c>
      <c r="Q64" s="62">
        <v>0.01</v>
      </c>
      <c r="R64" s="6"/>
      <c r="S64" s="6"/>
      <c r="T64" s="6"/>
      <c r="U64" s="18"/>
      <c r="V64" s="18"/>
      <c r="W64" s="18"/>
    </row>
    <row r="65">
      <c r="B65" s="6" t="s">
        <v>493</v>
      </c>
      <c r="C65" s="6" t="s">
        <v>45</v>
      </c>
      <c r="D65" s="6">
        <v>0.1</v>
      </c>
      <c r="E65" s="6" t="s">
        <v>416</v>
      </c>
      <c r="F65" s="6">
        <v>5.0</v>
      </c>
      <c r="G65" s="35" t="s">
        <v>479</v>
      </c>
      <c r="H65" s="6">
        <v>3.0</v>
      </c>
      <c r="I65" s="6"/>
      <c r="J65" s="6"/>
      <c r="K65" s="27"/>
      <c r="L65" s="35">
        <v>-5.0</v>
      </c>
      <c r="M65" s="27"/>
      <c r="N65" s="27"/>
      <c r="O65" s="6" t="s">
        <v>419</v>
      </c>
      <c r="P65" s="6" t="s">
        <v>420</v>
      </c>
      <c r="Q65" s="62">
        <v>0.01</v>
      </c>
      <c r="R65" s="6" t="s">
        <v>494</v>
      </c>
      <c r="S65" s="6"/>
      <c r="T65" s="6"/>
      <c r="U65" s="18"/>
      <c r="V65" s="18"/>
      <c r="W65" s="18"/>
    </row>
    <row r="66">
      <c r="B66" s="6" t="s">
        <v>495</v>
      </c>
      <c r="C66" s="6" t="s">
        <v>45</v>
      </c>
      <c r="D66" s="6">
        <v>0.4</v>
      </c>
      <c r="E66" s="6" t="s">
        <v>416</v>
      </c>
      <c r="F66" s="6">
        <v>10.0</v>
      </c>
      <c r="G66" s="35" t="s">
        <v>417</v>
      </c>
      <c r="H66" s="6">
        <v>3.0</v>
      </c>
      <c r="I66" s="6">
        <v>2.0</v>
      </c>
      <c r="J66" s="6"/>
      <c r="K66" s="35">
        <v>5.0</v>
      </c>
      <c r="L66" s="27"/>
      <c r="M66" s="27"/>
      <c r="N66" s="27"/>
      <c r="O66" s="6" t="s">
        <v>419</v>
      </c>
      <c r="P66" s="6" t="s">
        <v>419</v>
      </c>
      <c r="Q66" s="62">
        <v>0.0</v>
      </c>
      <c r="R66" s="6" t="s">
        <v>496</v>
      </c>
      <c r="S66" s="6" t="s">
        <v>497</v>
      </c>
      <c r="T66" s="6"/>
      <c r="U66" s="18"/>
      <c r="V66" s="18"/>
      <c r="W66" s="18"/>
    </row>
    <row r="67">
      <c r="B67" s="6" t="s">
        <v>498</v>
      </c>
      <c r="C67" s="6" t="s">
        <v>81</v>
      </c>
      <c r="D67" s="6">
        <v>0.5</v>
      </c>
      <c r="E67" s="6" t="s">
        <v>416</v>
      </c>
      <c r="F67" s="6">
        <v>10.0</v>
      </c>
      <c r="G67" s="35" t="s">
        <v>417</v>
      </c>
      <c r="H67" s="6"/>
      <c r="I67" s="6">
        <v>1.0</v>
      </c>
      <c r="J67" s="6">
        <v>4.0</v>
      </c>
      <c r="K67" s="35">
        <v>25.0</v>
      </c>
      <c r="L67" s="35">
        <v>-5.0</v>
      </c>
      <c r="M67" s="27"/>
      <c r="N67" s="27"/>
      <c r="O67" s="6" t="s">
        <v>420</v>
      </c>
      <c r="P67" s="6" t="s">
        <v>420</v>
      </c>
      <c r="Q67" s="62">
        <v>0.05</v>
      </c>
      <c r="R67" s="6" t="s">
        <v>499</v>
      </c>
      <c r="S67" s="6" t="s">
        <v>500</v>
      </c>
      <c r="T67" s="6"/>
      <c r="U67" s="18"/>
      <c r="V67" s="18"/>
      <c r="W67" s="18"/>
    </row>
    <row r="68">
      <c r="B68" s="6" t="s">
        <v>501</v>
      </c>
      <c r="C68" s="6" t="s">
        <v>45</v>
      </c>
      <c r="D68" s="6">
        <v>0.2</v>
      </c>
      <c r="E68" s="6" t="s">
        <v>416</v>
      </c>
      <c r="F68" s="6">
        <v>25.0</v>
      </c>
      <c r="G68" s="35" t="s">
        <v>417</v>
      </c>
      <c r="H68" s="6">
        <v>5.0</v>
      </c>
      <c r="I68" s="6">
        <v>2.0</v>
      </c>
      <c r="J68" s="6">
        <v>0.0</v>
      </c>
      <c r="K68" s="35">
        <v>5.0</v>
      </c>
      <c r="L68" s="35">
        <v>-10.0</v>
      </c>
      <c r="M68" s="35">
        <v>50.0</v>
      </c>
      <c r="N68" s="35">
        <v>10.0</v>
      </c>
      <c r="O68" s="6" t="s">
        <v>419</v>
      </c>
      <c r="P68" s="6" t="s">
        <v>420</v>
      </c>
      <c r="Q68" s="7">
        <v>0.5</v>
      </c>
      <c r="R68" s="6"/>
      <c r="S68" s="6"/>
      <c r="T68" s="6"/>
      <c r="U68" s="18"/>
      <c r="V68" s="18"/>
      <c r="W68" s="18"/>
    </row>
    <row r="69">
      <c r="B69" s="6" t="s">
        <v>502</v>
      </c>
      <c r="C69" s="6" t="s">
        <v>45</v>
      </c>
      <c r="D69" s="6">
        <v>0.1</v>
      </c>
      <c r="E69" s="6" t="s">
        <v>416</v>
      </c>
      <c r="F69" s="6">
        <v>50.0</v>
      </c>
      <c r="G69" s="35" t="s">
        <v>417</v>
      </c>
      <c r="H69" s="6">
        <v>5.0</v>
      </c>
      <c r="I69" s="6">
        <v>5.0</v>
      </c>
      <c r="J69" s="6">
        <v>-1.0</v>
      </c>
      <c r="K69" s="35">
        <v>10.0</v>
      </c>
      <c r="L69" s="35">
        <v>-20.0</v>
      </c>
      <c r="M69" s="35">
        <v>50.0</v>
      </c>
      <c r="N69" s="35">
        <v>10.0</v>
      </c>
      <c r="O69" s="6" t="s">
        <v>419</v>
      </c>
      <c r="P69" s="6" t="s">
        <v>420</v>
      </c>
      <c r="Q69" s="7">
        <v>0.25</v>
      </c>
      <c r="R69" s="6"/>
      <c r="S69" s="6"/>
      <c r="T69" s="6"/>
      <c r="U69" s="18"/>
      <c r="V69" s="18"/>
      <c r="W69" s="18"/>
    </row>
    <row r="70">
      <c r="B70" s="6" t="s">
        <v>503</v>
      </c>
      <c r="C70" s="6" t="s">
        <v>45</v>
      </c>
      <c r="D70" s="6">
        <v>0.1</v>
      </c>
      <c r="E70" s="6" t="s">
        <v>416</v>
      </c>
      <c r="F70" s="6">
        <v>50.0</v>
      </c>
      <c r="G70" s="35" t="s">
        <v>417</v>
      </c>
      <c r="H70" s="6"/>
      <c r="I70" s="6">
        <v>1.0</v>
      </c>
      <c r="J70" s="6">
        <v>0.0</v>
      </c>
      <c r="K70" s="27"/>
      <c r="L70" s="27"/>
      <c r="M70" s="35">
        <v>100.0</v>
      </c>
      <c r="N70" s="27"/>
      <c r="O70" s="6" t="s">
        <v>419</v>
      </c>
      <c r="P70" s="6" t="s">
        <v>420</v>
      </c>
      <c r="Q70" s="7">
        <v>0.5</v>
      </c>
      <c r="R70" s="6" t="s">
        <v>504</v>
      </c>
      <c r="S70" s="6" t="s">
        <v>505</v>
      </c>
      <c r="T70" s="6" t="s">
        <v>506</v>
      </c>
      <c r="U70" s="6" t="s">
        <v>507</v>
      </c>
      <c r="V70" s="6" t="s">
        <v>508</v>
      </c>
      <c r="W70" s="18"/>
    </row>
    <row r="71">
      <c r="B71" s="6" t="s">
        <v>509</v>
      </c>
      <c r="C71" s="6" t="s">
        <v>45</v>
      </c>
      <c r="D71" s="6">
        <v>0.1</v>
      </c>
      <c r="E71" s="6" t="s">
        <v>416</v>
      </c>
      <c r="F71" s="6">
        <v>50.0</v>
      </c>
      <c r="G71" s="35" t="s">
        <v>479</v>
      </c>
      <c r="H71" s="6">
        <v>1.0</v>
      </c>
      <c r="I71" s="6"/>
      <c r="J71" s="6"/>
      <c r="K71" s="27"/>
      <c r="L71" s="27"/>
      <c r="M71" s="35"/>
      <c r="N71" s="27"/>
      <c r="O71" s="6"/>
      <c r="P71" s="6"/>
      <c r="Q71" s="62"/>
      <c r="R71" s="6" t="s">
        <v>486</v>
      </c>
      <c r="S71" s="6" t="s">
        <v>510</v>
      </c>
      <c r="T71" s="6" t="s">
        <v>511</v>
      </c>
      <c r="U71" s="18"/>
      <c r="V71" s="18"/>
      <c r="W71" s="18"/>
    </row>
    <row r="72">
      <c r="B72" s="6" t="s">
        <v>512</v>
      </c>
      <c r="C72" s="6" t="s">
        <v>45</v>
      </c>
      <c r="D72" s="6"/>
      <c r="E72" s="6" t="s">
        <v>416</v>
      </c>
      <c r="F72" s="6"/>
      <c r="G72" s="35" t="s">
        <v>479</v>
      </c>
      <c r="H72" s="6">
        <v>3.0</v>
      </c>
      <c r="I72" s="6"/>
      <c r="J72" s="6"/>
      <c r="K72" s="27"/>
      <c r="L72" s="27"/>
      <c r="M72" s="27"/>
      <c r="N72" s="27"/>
      <c r="O72" s="6"/>
      <c r="P72" s="6"/>
      <c r="Q72" s="62"/>
      <c r="R72" s="6" t="s">
        <v>513</v>
      </c>
      <c r="S72" s="6" t="s">
        <v>494</v>
      </c>
      <c r="T72" s="6" t="s">
        <v>506</v>
      </c>
      <c r="U72" s="6" t="s">
        <v>514</v>
      </c>
      <c r="V72" s="18"/>
      <c r="W72" s="18"/>
    </row>
    <row r="73">
      <c r="U73" s="1"/>
      <c r="V73" s="1"/>
      <c r="W73" s="1"/>
    </row>
    <row r="74">
      <c r="U74" s="1"/>
      <c r="V74" s="1"/>
      <c r="W74" s="1"/>
    </row>
    <row r="75">
      <c r="B75" s="56" t="s">
        <v>515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4"/>
    </row>
    <row r="76">
      <c r="A76" s="57"/>
      <c r="B76" s="59" t="s">
        <v>356</v>
      </c>
      <c r="C76" s="59" t="s">
        <v>20</v>
      </c>
      <c r="D76" s="59" t="s">
        <v>214</v>
      </c>
      <c r="E76" s="59" t="s">
        <v>405</v>
      </c>
      <c r="F76" s="59" t="s">
        <v>406</v>
      </c>
      <c r="G76" s="59" t="s">
        <v>516</v>
      </c>
      <c r="H76" s="59" t="s">
        <v>517</v>
      </c>
      <c r="I76" s="59" t="s">
        <v>2</v>
      </c>
      <c r="J76" s="59" t="s">
        <v>518</v>
      </c>
      <c r="K76" s="59" t="s">
        <v>519</v>
      </c>
      <c r="L76" s="59" t="s">
        <v>520</v>
      </c>
      <c r="M76" s="59" t="s">
        <v>521</v>
      </c>
      <c r="N76" s="59" t="s">
        <v>522</v>
      </c>
      <c r="O76" s="59" t="s">
        <v>523</v>
      </c>
      <c r="P76" s="59" t="s">
        <v>524</v>
      </c>
      <c r="Q76" s="59" t="s">
        <v>525</v>
      </c>
      <c r="R76" s="59" t="s">
        <v>526</v>
      </c>
      <c r="S76" s="59" t="s">
        <v>527</v>
      </c>
      <c r="T76" s="59" t="s">
        <v>359</v>
      </c>
      <c r="U76" s="59" t="s">
        <v>374</v>
      </c>
      <c r="V76" s="63" t="s">
        <v>375</v>
      </c>
      <c r="W76" s="3"/>
      <c r="X76" s="3"/>
      <c r="Y76" s="4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</row>
    <row r="77">
      <c r="B77" s="6" t="s">
        <v>529</v>
      </c>
      <c r="C77" s="6" t="s">
        <v>45</v>
      </c>
      <c r="D77" s="6">
        <v>1.5</v>
      </c>
      <c r="E77" s="6" t="s">
        <v>416</v>
      </c>
      <c r="F77" s="6">
        <v>3.0</v>
      </c>
      <c r="G77" s="6">
        <v>1.0</v>
      </c>
      <c r="H77" s="13">
        <f>if(C77="Примитивная",'Базовые таблицы'!$I$4,if(C77="Железа",'Базовые таблицы'!$I$5,0))-0.1*(M77-1)</f>
        <v>1</v>
      </c>
      <c r="I77" s="13">
        <f t="shared" ref="I77:I104" si="1">Roundup(H77*G77*J77*if(O77="среднее",1.5,if(O77="сильное",2,1))*if(E77="большой",1.5,1),0)</f>
        <v>2</v>
      </c>
      <c r="J77" s="6">
        <v>2.0</v>
      </c>
      <c r="K77" s="68">
        <v>0.25</v>
      </c>
      <c r="L77" s="68">
        <v>1.5</v>
      </c>
      <c r="M77" s="6">
        <v>1.0</v>
      </c>
      <c r="N77" s="13">
        <f t="shared" ref="N77:N104" si="2">Roundup(15/D77,0)</f>
        <v>10</v>
      </c>
      <c r="O77" s="6" t="s">
        <v>530</v>
      </c>
      <c r="P77" s="6"/>
      <c r="Q77" s="6"/>
      <c r="R77" s="6"/>
      <c r="S77" s="6"/>
      <c r="T77" s="6">
        <v>5.0</v>
      </c>
      <c r="U77" s="62">
        <v>0.1</v>
      </c>
      <c r="V77" s="6"/>
      <c r="W77" s="6"/>
      <c r="X77" s="6"/>
      <c r="Y77" s="6"/>
    </row>
    <row r="78">
      <c r="B78" s="6" t="s">
        <v>531</v>
      </c>
      <c r="C78" s="6" t="s">
        <v>45</v>
      </c>
      <c r="D78" s="6">
        <v>2.0</v>
      </c>
      <c r="E78" s="6" t="s">
        <v>416</v>
      </c>
      <c r="F78" s="6">
        <v>1.0</v>
      </c>
      <c r="G78" s="6">
        <v>3.0</v>
      </c>
      <c r="H78" s="13">
        <f>if(C78="Примитивная",'Базовые таблицы'!$I$4,if(C78="Железа",'Базовые таблицы'!$I$5,0))-0.1*(M78-1)</f>
        <v>0.95</v>
      </c>
      <c r="I78" s="13">
        <f t="shared" si="1"/>
        <v>11</v>
      </c>
      <c r="J78" s="6">
        <v>2.5</v>
      </c>
      <c r="K78" s="68">
        <v>0.5</v>
      </c>
      <c r="L78" s="68">
        <v>2.0</v>
      </c>
      <c r="M78" s="6">
        <v>1.5</v>
      </c>
      <c r="N78" s="13">
        <f t="shared" si="2"/>
        <v>8</v>
      </c>
      <c r="O78" s="6" t="s">
        <v>532</v>
      </c>
      <c r="P78" s="6"/>
      <c r="Q78" s="6"/>
      <c r="R78" s="6"/>
      <c r="S78" s="6"/>
      <c r="T78" s="6">
        <v>10.0</v>
      </c>
      <c r="U78" s="62">
        <v>0.07</v>
      </c>
      <c r="V78" s="6"/>
      <c r="W78" s="6"/>
      <c r="X78" s="6"/>
      <c r="Y78" s="6"/>
    </row>
    <row r="79">
      <c r="B79" s="6" t="s">
        <v>533</v>
      </c>
      <c r="C79" s="6" t="s">
        <v>45</v>
      </c>
      <c r="D79" s="6">
        <v>3.5</v>
      </c>
      <c r="E79" s="6" t="s">
        <v>534</v>
      </c>
      <c r="F79" s="6">
        <v>1.0</v>
      </c>
      <c r="G79" s="6">
        <v>1.0</v>
      </c>
      <c r="H79" s="13">
        <f>if(C79="Примитивная",'Базовые таблицы'!$I$4,if(C79="Железа",'Базовые таблицы'!$I$5,0))-0.1*(M79-1)</f>
        <v>0.9</v>
      </c>
      <c r="I79" s="13">
        <f t="shared" si="1"/>
        <v>9</v>
      </c>
      <c r="J79" s="6">
        <v>3.0</v>
      </c>
      <c r="K79" s="68">
        <v>0.25</v>
      </c>
      <c r="L79" s="68">
        <v>1.5</v>
      </c>
      <c r="M79" s="6">
        <v>2.0</v>
      </c>
      <c r="N79" s="13">
        <f t="shared" si="2"/>
        <v>5</v>
      </c>
      <c r="O79" s="6" t="s">
        <v>535</v>
      </c>
      <c r="P79" s="6"/>
      <c r="Q79" s="6"/>
      <c r="R79" s="6"/>
      <c r="S79" s="6"/>
      <c r="T79" s="6">
        <v>7.0</v>
      </c>
      <c r="U79" s="62">
        <v>0.1</v>
      </c>
      <c r="V79" s="6"/>
      <c r="W79" s="6"/>
      <c r="X79" s="6"/>
      <c r="Y79" s="6"/>
    </row>
    <row r="80">
      <c r="B80" s="6" t="s">
        <v>537</v>
      </c>
      <c r="C80" s="6" t="s">
        <v>45</v>
      </c>
      <c r="D80" s="6">
        <v>1.8</v>
      </c>
      <c r="E80" s="6" t="s">
        <v>416</v>
      </c>
      <c r="F80" s="6">
        <v>2.0</v>
      </c>
      <c r="G80" s="6">
        <v>2.0</v>
      </c>
      <c r="H80" s="13">
        <f>if(C80="Примитивная",'Базовые таблицы'!$I$4,if(C80="Железа",'Базовые таблицы'!$I$5,0))-0.1*(M80-1)</f>
        <v>1</v>
      </c>
      <c r="I80" s="13">
        <f t="shared" si="1"/>
        <v>6</v>
      </c>
      <c r="J80" s="6">
        <v>1.8</v>
      </c>
      <c r="K80" s="68">
        <v>0.25</v>
      </c>
      <c r="L80" s="68">
        <v>1.0</v>
      </c>
      <c r="M80" s="6">
        <v>1.0</v>
      </c>
      <c r="N80" s="13">
        <f t="shared" si="2"/>
        <v>9</v>
      </c>
      <c r="O80" s="6" t="s">
        <v>532</v>
      </c>
      <c r="P80" s="6"/>
      <c r="Q80" s="6"/>
      <c r="R80" s="6"/>
      <c r="S80" s="6"/>
      <c r="T80" s="6">
        <v>8.0</v>
      </c>
      <c r="U80" s="62">
        <v>0.08</v>
      </c>
      <c r="V80" s="6"/>
      <c r="W80" s="6"/>
      <c r="X80" s="6"/>
      <c r="Y80" s="6"/>
    </row>
    <row r="81">
      <c r="B81" s="6" t="s">
        <v>538</v>
      </c>
      <c r="C81" s="6" t="s">
        <v>45</v>
      </c>
      <c r="D81" s="6">
        <v>5.0</v>
      </c>
      <c r="E81" s="6" t="s">
        <v>534</v>
      </c>
      <c r="F81" s="6">
        <v>1.0</v>
      </c>
      <c r="G81" s="6">
        <v>3.0</v>
      </c>
      <c r="H81" s="13">
        <f>if(C81="Примитивная",'Базовые таблицы'!$I$4,if(C81="Железа",'Базовые таблицы'!$I$5,0))-0.1*(M81-1)</f>
        <v>0.9</v>
      </c>
      <c r="I81" s="13">
        <f t="shared" si="1"/>
        <v>26</v>
      </c>
      <c r="J81" s="6">
        <v>3.2</v>
      </c>
      <c r="K81" s="68">
        <v>0.5</v>
      </c>
      <c r="L81" s="68">
        <v>2.0</v>
      </c>
      <c r="M81" s="6">
        <v>2.0</v>
      </c>
      <c r="N81" s="13">
        <f t="shared" si="2"/>
        <v>3</v>
      </c>
      <c r="O81" s="6" t="s">
        <v>535</v>
      </c>
      <c r="P81" s="6"/>
      <c r="Q81" s="6"/>
      <c r="R81" s="6"/>
      <c r="S81" s="6"/>
      <c r="T81" s="6">
        <v>15.0</v>
      </c>
      <c r="U81" s="62">
        <v>0.07</v>
      </c>
      <c r="V81" s="6"/>
      <c r="W81" s="6"/>
      <c r="X81" s="6"/>
      <c r="Y81" s="6"/>
    </row>
    <row r="82">
      <c r="B82" s="6" t="s">
        <v>539</v>
      </c>
      <c r="C82" s="6" t="s">
        <v>45</v>
      </c>
      <c r="D82" s="6">
        <v>0.8</v>
      </c>
      <c r="E82" s="6" t="s">
        <v>534</v>
      </c>
      <c r="F82" s="6">
        <v>1.0</v>
      </c>
      <c r="G82" s="6">
        <v>1.0</v>
      </c>
      <c r="H82" s="13">
        <f>if(C82="Примитивная",'Базовые таблицы'!$I$4,if(C82="Железа",'Базовые таблицы'!$I$5,0))-0.1*(M82-1)</f>
        <v>0.9</v>
      </c>
      <c r="I82" s="13">
        <f t="shared" si="1"/>
        <v>1</v>
      </c>
      <c r="J82" s="6">
        <v>0.5</v>
      </c>
      <c r="K82" s="68">
        <v>1.0</v>
      </c>
      <c r="L82" s="68">
        <v>0.5</v>
      </c>
      <c r="M82" s="6">
        <v>2.0</v>
      </c>
      <c r="N82" s="13">
        <f t="shared" si="2"/>
        <v>19</v>
      </c>
      <c r="O82" s="6" t="s">
        <v>530</v>
      </c>
      <c r="P82" s="6"/>
      <c r="Q82" s="6"/>
      <c r="R82" s="6"/>
      <c r="S82" s="6"/>
      <c r="T82" s="6">
        <v>5.0</v>
      </c>
      <c r="U82" s="62">
        <v>0.05</v>
      </c>
      <c r="V82" s="6"/>
      <c r="W82" s="6"/>
      <c r="X82" s="6"/>
      <c r="Y82" s="6"/>
    </row>
    <row r="83">
      <c r="B83" s="6" t="s">
        <v>540</v>
      </c>
      <c r="C83" s="6" t="s">
        <v>45</v>
      </c>
      <c r="D83" s="6">
        <v>1.2</v>
      </c>
      <c r="E83" s="6" t="s">
        <v>534</v>
      </c>
      <c r="F83" s="6">
        <v>1.0</v>
      </c>
      <c r="G83" s="6">
        <v>2.0</v>
      </c>
      <c r="H83" s="13">
        <f>if(C83="Примитивная",'Базовые таблицы'!$I$4,if(C83="Железа",'Базовые таблицы'!$I$5,0))-0.1*(M83-1)</f>
        <v>0.8</v>
      </c>
      <c r="I83" s="13">
        <f t="shared" si="1"/>
        <v>3</v>
      </c>
      <c r="J83" s="6">
        <v>1.0</v>
      </c>
      <c r="K83" s="68">
        <v>1.5</v>
      </c>
      <c r="L83" s="68">
        <v>0.5</v>
      </c>
      <c r="M83" s="6">
        <v>3.0</v>
      </c>
      <c r="N83" s="13">
        <f t="shared" si="2"/>
        <v>13</v>
      </c>
      <c r="O83" s="6" t="s">
        <v>530</v>
      </c>
      <c r="P83" s="6"/>
      <c r="Q83" s="6"/>
      <c r="R83" s="6"/>
      <c r="S83" s="6"/>
      <c r="T83" s="6">
        <v>7.0</v>
      </c>
      <c r="U83" s="62">
        <v>0.05</v>
      </c>
      <c r="V83" s="6"/>
      <c r="W83" s="6"/>
      <c r="X83" s="6"/>
      <c r="Y83" s="6"/>
    </row>
    <row r="84">
      <c r="B84" s="6" t="s">
        <v>541</v>
      </c>
      <c r="C84" s="6" t="s">
        <v>45</v>
      </c>
      <c r="D84" s="6">
        <v>1.5</v>
      </c>
      <c r="E84" s="6" t="s">
        <v>534</v>
      </c>
      <c r="F84" s="6">
        <v>1.0</v>
      </c>
      <c r="G84" s="6">
        <v>3.0</v>
      </c>
      <c r="H84" s="13">
        <f>if(C84="Примитивная",'Базовые таблицы'!$I$4,if(C84="Железа",'Базовые таблицы'!$I$5,0))-0.1*(M84-1)</f>
        <v>0.8</v>
      </c>
      <c r="I84" s="13">
        <f t="shared" si="1"/>
        <v>9</v>
      </c>
      <c r="J84" s="6">
        <v>1.5</v>
      </c>
      <c r="K84" s="68">
        <v>1.5</v>
      </c>
      <c r="L84" s="68">
        <v>0.5</v>
      </c>
      <c r="M84" s="6">
        <v>3.0</v>
      </c>
      <c r="N84" s="13">
        <f t="shared" si="2"/>
        <v>10</v>
      </c>
      <c r="O84" s="6" t="s">
        <v>532</v>
      </c>
      <c r="P84" s="6"/>
      <c r="Q84" s="6"/>
      <c r="R84" s="6"/>
      <c r="S84" s="6"/>
      <c r="T84" s="6">
        <v>10.0</v>
      </c>
      <c r="U84" s="62">
        <v>0.05</v>
      </c>
      <c r="V84" s="6"/>
      <c r="W84" s="6"/>
      <c r="X84" s="6"/>
      <c r="Y84" s="6"/>
    </row>
    <row r="85">
      <c r="B85" s="6" t="s">
        <v>543</v>
      </c>
      <c r="C85" s="6" t="s">
        <v>45</v>
      </c>
      <c r="D85" s="6">
        <v>0.7</v>
      </c>
      <c r="E85" s="6" t="s">
        <v>534</v>
      </c>
      <c r="F85" s="6">
        <v>1.0</v>
      </c>
      <c r="G85" s="6">
        <v>2.0</v>
      </c>
      <c r="H85" s="13">
        <f>if(C85="Примитивная",'Базовые таблицы'!$I$4,if(C85="Железа",'Базовые таблицы'!$I$5,0))-0.1*(M85-1)</f>
        <v>0.85</v>
      </c>
      <c r="I85" s="13">
        <f t="shared" si="1"/>
        <v>2</v>
      </c>
      <c r="J85" s="6">
        <v>0.7</v>
      </c>
      <c r="K85" s="68">
        <v>1.0</v>
      </c>
      <c r="L85" s="68">
        <v>0.5</v>
      </c>
      <c r="M85" s="6">
        <v>2.5</v>
      </c>
      <c r="N85" s="13">
        <f t="shared" si="2"/>
        <v>22</v>
      </c>
      <c r="O85" s="6" t="s">
        <v>530</v>
      </c>
      <c r="P85" s="6"/>
      <c r="Q85" s="6"/>
      <c r="R85" s="6"/>
      <c r="S85" s="6"/>
      <c r="T85" s="6">
        <v>5.0</v>
      </c>
      <c r="U85" s="62">
        <v>0.05</v>
      </c>
      <c r="V85" s="6"/>
      <c r="W85" s="6"/>
      <c r="X85" s="6"/>
      <c r="Y85" s="6"/>
    </row>
    <row r="86">
      <c r="B86" s="6" t="s">
        <v>544</v>
      </c>
      <c r="C86" s="6" t="s">
        <v>45</v>
      </c>
      <c r="D86" s="6">
        <v>0.3</v>
      </c>
      <c r="E86" s="6" t="s">
        <v>416</v>
      </c>
      <c r="F86" s="6">
        <v>3.0</v>
      </c>
      <c r="G86" s="6">
        <v>1.0</v>
      </c>
      <c r="H86" s="13">
        <f>if(C86="Примитивная",'Базовые таблицы'!$I$4,if(C86="Железа",'Базовые таблицы'!$I$5,0))-0.1*(M86-1)</f>
        <v>1.05</v>
      </c>
      <c r="I86" s="13">
        <f t="shared" si="1"/>
        <v>1</v>
      </c>
      <c r="J86" s="6">
        <v>0.3</v>
      </c>
      <c r="K86" s="68">
        <v>1.0</v>
      </c>
      <c r="L86" s="68">
        <v>0.5</v>
      </c>
      <c r="M86" s="6">
        <v>0.5</v>
      </c>
      <c r="N86" s="13">
        <f t="shared" si="2"/>
        <v>50</v>
      </c>
      <c r="O86" s="6" t="s">
        <v>530</v>
      </c>
      <c r="P86" s="6" t="s">
        <v>545</v>
      </c>
      <c r="Q86" s="6">
        <v>300.0</v>
      </c>
      <c r="R86" s="6"/>
      <c r="S86" s="6"/>
      <c r="T86" s="6">
        <v>5.0</v>
      </c>
      <c r="U86" s="62">
        <v>0.07</v>
      </c>
      <c r="V86" s="6"/>
      <c r="W86" s="6"/>
      <c r="X86" s="6"/>
      <c r="Y86" s="6"/>
    </row>
    <row r="87">
      <c r="B87" s="6" t="s">
        <v>546</v>
      </c>
      <c r="C87" s="6" t="s">
        <v>45</v>
      </c>
      <c r="D87" s="6">
        <v>0.5</v>
      </c>
      <c r="E87" s="6" t="s">
        <v>416</v>
      </c>
      <c r="F87" s="6">
        <v>3.0</v>
      </c>
      <c r="G87" s="6">
        <v>2.0</v>
      </c>
      <c r="H87" s="13">
        <f>if(C87="Примитивная",'Базовые таблицы'!$I$4,if(C87="Железа",'Базовые таблицы'!$I$5,0))-0.1*(M87-1)</f>
        <v>1.05</v>
      </c>
      <c r="I87" s="13">
        <f t="shared" si="1"/>
        <v>3</v>
      </c>
      <c r="J87" s="6">
        <v>0.7</v>
      </c>
      <c r="K87" s="68">
        <v>1.5</v>
      </c>
      <c r="L87" s="68">
        <v>0.5</v>
      </c>
      <c r="M87" s="6">
        <v>0.5</v>
      </c>
      <c r="N87" s="13">
        <f t="shared" si="2"/>
        <v>30</v>
      </c>
      <c r="O87" s="6" t="s">
        <v>532</v>
      </c>
      <c r="P87" s="6" t="s">
        <v>545</v>
      </c>
      <c r="Q87" s="6">
        <v>240.0</v>
      </c>
      <c r="R87" s="6"/>
      <c r="S87" s="6"/>
      <c r="T87" s="6">
        <v>10.0</v>
      </c>
      <c r="U87" s="62">
        <v>0.02</v>
      </c>
      <c r="V87" s="6"/>
      <c r="W87" s="6"/>
      <c r="X87" s="6"/>
      <c r="Y87" s="6"/>
    </row>
    <row r="88">
      <c r="B88" s="6" t="s">
        <v>547</v>
      </c>
      <c r="C88" s="6" t="s">
        <v>45</v>
      </c>
      <c r="D88" s="6">
        <v>0.75</v>
      </c>
      <c r="E88" s="6" t="s">
        <v>416</v>
      </c>
      <c r="F88" s="6">
        <v>3.0</v>
      </c>
      <c r="G88" s="6">
        <v>3.0</v>
      </c>
      <c r="H88" s="13">
        <f>if(C88="Примитивная",'Базовые таблицы'!$I$4,if(C88="Железа",'Базовые таблицы'!$I$5,0))-0.1*(M88-1)</f>
        <v>1.05</v>
      </c>
      <c r="I88" s="13">
        <f t="shared" si="1"/>
        <v>3</v>
      </c>
      <c r="J88" s="6">
        <v>0.9</v>
      </c>
      <c r="K88" s="68">
        <v>2.0</v>
      </c>
      <c r="L88" s="68">
        <v>0.5</v>
      </c>
      <c r="M88" s="6">
        <v>0.5</v>
      </c>
      <c r="N88" s="13">
        <f t="shared" si="2"/>
        <v>20</v>
      </c>
      <c r="O88" s="6" t="s">
        <v>530</v>
      </c>
      <c r="P88" s="6" t="s">
        <v>545</v>
      </c>
      <c r="Q88" s="6">
        <v>200.0</v>
      </c>
      <c r="R88" s="6"/>
      <c r="S88" s="6"/>
      <c r="T88" s="6">
        <v>15.0</v>
      </c>
      <c r="U88" s="62">
        <v>0.05</v>
      </c>
      <c r="V88" s="6"/>
      <c r="W88" s="6"/>
      <c r="X88" s="6"/>
      <c r="Y88" s="6"/>
    </row>
    <row r="89">
      <c r="B89" s="6" t="s">
        <v>548</v>
      </c>
      <c r="C89" s="6" t="s">
        <v>45</v>
      </c>
      <c r="D89" s="6">
        <v>0.4</v>
      </c>
      <c r="E89" s="6" t="s">
        <v>416</v>
      </c>
      <c r="F89" s="6">
        <v>3.0</v>
      </c>
      <c r="G89" s="6">
        <v>2.0</v>
      </c>
      <c r="H89" s="13">
        <f>if(C89="Примитивная",'Базовые таблицы'!$I$4,if(C89="Железа",'Базовые таблицы'!$I$5,0))-0.1*(M89-1)</f>
        <v>1.05</v>
      </c>
      <c r="I89" s="13">
        <f t="shared" si="1"/>
        <v>2</v>
      </c>
      <c r="J89" s="6">
        <v>0.5</v>
      </c>
      <c r="K89" s="68">
        <v>1.5</v>
      </c>
      <c r="L89" s="68">
        <v>0.5</v>
      </c>
      <c r="M89" s="6">
        <v>0.5</v>
      </c>
      <c r="N89" s="13">
        <f t="shared" si="2"/>
        <v>38</v>
      </c>
      <c r="O89" s="6" t="s">
        <v>530</v>
      </c>
      <c r="P89" s="6" t="s">
        <v>545</v>
      </c>
      <c r="Q89" s="6">
        <v>240.0</v>
      </c>
      <c r="R89" s="6"/>
      <c r="S89" s="6"/>
      <c r="T89" s="6">
        <v>7.0</v>
      </c>
      <c r="U89" s="62">
        <v>0.07</v>
      </c>
      <c r="V89" s="6"/>
      <c r="W89" s="6"/>
      <c r="X89" s="6"/>
      <c r="Y89" s="6"/>
    </row>
    <row r="90">
      <c r="B90" s="6" t="s">
        <v>550</v>
      </c>
      <c r="C90" s="6" t="s">
        <v>45</v>
      </c>
      <c r="D90" s="18"/>
      <c r="E90" s="6" t="s">
        <v>534</v>
      </c>
      <c r="F90" s="6"/>
      <c r="G90" s="6"/>
      <c r="H90" s="13">
        <f>if(C90="Примитивная",'Базовые таблицы'!$I$4,if(C90="Железа",'Базовые таблицы'!$I$5,0))-0.1*(M90-1)</f>
        <v>1.1</v>
      </c>
      <c r="I90" s="13">
        <f t="shared" si="1"/>
        <v>0</v>
      </c>
      <c r="J90" s="6"/>
      <c r="K90" s="69"/>
      <c r="L90" s="69"/>
      <c r="M90" s="6"/>
      <c r="N90" s="13" t="str">
        <f t="shared" si="2"/>
        <v>#DIV/0!</v>
      </c>
      <c r="O90" s="6"/>
      <c r="P90" s="6"/>
      <c r="Q90" s="6"/>
      <c r="R90" s="6"/>
      <c r="S90" s="6"/>
      <c r="T90" s="6"/>
      <c r="U90" s="62"/>
      <c r="V90" s="6"/>
      <c r="W90" s="6"/>
      <c r="X90" s="6"/>
      <c r="Y90" s="6"/>
    </row>
    <row r="91">
      <c r="B91" s="6" t="s">
        <v>551</v>
      </c>
      <c r="C91" s="6" t="s">
        <v>45</v>
      </c>
      <c r="D91" s="18"/>
      <c r="E91" s="6" t="s">
        <v>534</v>
      </c>
      <c r="F91" s="6"/>
      <c r="G91" s="6"/>
      <c r="H91" s="13">
        <f>if(C91="Примитивная",'Базовые таблицы'!$I$4,if(C91="Железа",'Базовые таблицы'!$I$5,0))-0.1*(M91-1)</f>
        <v>1.1</v>
      </c>
      <c r="I91" s="13">
        <f t="shared" si="1"/>
        <v>0</v>
      </c>
      <c r="J91" s="6"/>
      <c r="K91" s="69"/>
      <c r="L91" s="69"/>
      <c r="M91" s="6"/>
      <c r="N91" s="13" t="str">
        <f t="shared" si="2"/>
        <v>#DIV/0!</v>
      </c>
      <c r="O91" s="6"/>
      <c r="P91" s="6"/>
      <c r="Q91" s="6"/>
      <c r="R91" s="6"/>
      <c r="S91" s="6"/>
      <c r="T91" s="6"/>
      <c r="U91" s="62"/>
      <c r="V91" s="6"/>
      <c r="W91" s="6"/>
      <c r="X91" s="6"/>
      <c r="Y91" s="6"/>
    </row>
    <row r="92">
      <c r="B92" s="6" t="s">
        <v>552</v>
      </c>
      <c r="C92" s="6" t="s">
        <v>45</v>
      </c>
      <c r="D92" s="18"/>
      <c r="E92" s="6" t="s">
        <v>534</v>
      </c>
      <c r="F92" s="6"/>
      <c r="G92" s="6"/>
      <c r="H92" s="13">
        <f>if(C92="Примитивная",'Базовые таблицы'!$I$4,if(C92="Железа",'Базовые таблицы'!$I$5,0))-0.1*(M92-1)</f>
        <v>1.1</v>
      </c>
      <c r="I92" s="13">
        <f t="shared" si="1"/>
        <v>0</v>
      </c>
      <c r="J92" s="6"/>
      <c r="K92" s="69"/>
      <c r="L92" s="69"/>
      <c r="M92" s="6"/>
      <c r="N92" s="13" t="str">
        <f t="shared" si="2"/>
        <v>#DIV/0!</v>
      </c>
      <c r="O92" s="6"/>
      <c r="P92" s="6"/>
      <c r="Q92" s="6"/>
      <c r="R92" s="6"/>
      <c r="S92" s="6"/>
      <c r="T92" s="6"/>
      <c r="U92" s="62"/>
      <c r="V92" s="6"/>
      <c r="W92" s="6"/>
      <c r="X92" s="6"/>
      <c r="Y92" s="6"/>
    </row>
    <row r="93">
      <c r="B93" s="6" t="s">
        <v>553</v>
      </c>
      <c r="C93" s="6" t="s">
        <v>45</v>
      </c>
      <c r="D93" s="18"/>
      <c r="E93" s="6" t="s">
        <v>534</v>
      </c>
      <c r="F93" s="6"/>
      <c r="G93" s="6"/>
      <c r="H93" s="13">
        <f>if(C93="Примитивная",'Базовые таблицы'!$I$4,if(C93="Железа",'Базовые таблицы'!$I$5,0))-0.1*(M93-1)</f>
        <v>1.1</v>
      </c>
      <c r="I93" s="13">
        <f t="shared" si="1"/>
        <v>0</v>
      </c>
      <c r="J93" s="6"/>
      <c r="K93" s="69"/>
      <c r="L93" s="69"/>
      <c r="M93" s="6"/>
      <c r="N93" s="13" t="str">
        <f t="shared" si="2"/>
        <v>#DIV/0!</v>
      </c>
      <c r="O93" s="6"/>
      <c r="P93" s="6"/>
      <c r="Q93" s="6"/>
      <c r="R93" s="6"/>
      <c r="S93" s="6"/>
      <c r="T93" s="6"/>
      <c r="U93" s="62"/>
      <c r="V93" s="6"/>
      <c r="W93" s="6"/>
      <c r="X93" s="6"/>
      <c r="Y93" s="6"/>
    </row>
    <row r="94">
      <c r="B94" s="6" t="s">
        <v>554</v>
      </c>
      <c r="C94" s="6" t="s">
        <v>45</v>
      </c>
      <c r="D94" s="18"/>
      <c r="E94" s="6" t="s">
        <v>534</v>
      </c>
      <c r="F94" s="6"/>
      <c r="G94" s="6"/>
      <c r="H94" s="13">
        <f>if(C94="Примитивная",'Базовые таблицы'!$I$4,if(C94="Железа",'Базовые таблицы'!$I$5,0))-0.1*(M94-1)</f>
        <v>1.1</v>
      </c>
      <c r="I94" s="13">
        <f t="shared" si="1"/>
        <v>0</v>
      </c>
      <c r="J94" s="6"/>
      <c r="K94" s="69"/>
      <c r="L94" s="69"/>
      <c r="M94" s="6"/>
      <c r="N94" s="13" t="str">
        <f t="shared" si="2"/>
        <v>#DIV/0!</v>
      </c>
      <c r="O94" s="6"/>
      <c r="P94" s="6"/>
      <c r="Q94" s="6"/>
      <c r="R94" s="6"/>
      <c r="S94" s="6"/>
      <c r="T94" s="6"/>
      <c r="U94" s="62"/>
      <c r="V94" s="6"/>
      <c r="W94" s="6"/>
      <c r="X94" s="6"/>
      <c r="Y94" s="6"/>
    </row>
    <row r="95">
      <c r="B95" s="6" t="s">
        <v>555</v>
      </c>
      <c r="C95" s="6" t="s">
        <v>45</v>
      </c>
      <c r="D95" s="18"/>
      <c r="E95" s="6" t="s">
        <v>416</v>
      </c>
      <c r="F95" s="6"/>
      <c r="G95" s="6"/>
      <c r="H95" s="13">
        <f>if(C95="Примитивная",'Базовые таблицы'!$I$4,if(C95="Железа",'Базовые таблицы'!$I$5,0))-0.1*(M95-1)</f>
        <v>1.1</v>
      </c>
      <c r="I95" s="13">
        <f t="shared" si="1"/>
        <v>0</v>
      </c>
      <c r="J95" s="6"/>
      <c r="K95" s="69"/>
      <c r="L95" s="69"/>
      <c r="M95" s="6"/>
      <c r="N95" s="13" t="str">
        <f t="shared" si="2"/>
        <v>#DIV/0!</v>
      </c>
      <c r="O95" s="6"/>
      <c r="P95" s="6"/>
      <c r="Q95" s="6"/>
      <c r="R95" s="6"/>
      <c r="S95" s="6"/>
      <c r="T95" s="6"/>
      <c r="U95" s="62"/>
      <c r="V95" s="6"/>
      <c r="W95" s="6"/>
      <c r="X95" s="6"/>
      <c r="Y95" s="6"/>
    </row>
    <row r="96">
      <c r="B96" s="6" t="s">
        <v>556</v>
      </c>
      <c r="C96" s="6" t="s">
        <v>45</v>
      </c>
      <c r="D96" s="18"/>
      <c r="E96" s="6" t="s">
        <v>416</v>
      </c>
      <c r="F96" s="6"/>
      <c r="G96" s="6"/>
      <c r="H96" s="13">
        <f>if(C96="Примитивная",'Базовые таблицы'!$I$4,if(C96="Железа",'Базовые таблицы'!$I$5,0))-0.1*(M96-1)</f>
        <v>1.1</v>
      </c>
      <c r="I96" s="13">
        <f t="shared" si="1"/>
        <v>0</v>
      </c>
      <c r="J96" s="6"/>
      <c r="K96" s="69"/>
      <c r="L96" s="69"/>
      <c r="M96" s="6"/>
      <c r="N96" s="13" t="str">
        <f t="shared" si="2"/>
        <v>#DIV/0!</v>
      </c>
      <c r="O96" s="6"/>
      <c r="P96" s="6"/>
      <c r="Q96" s="6"/>
      <c r="R96" s="6"/>
      <c r="S96" s="6"/>
      <c r="T96" s="6"/>
      <c r="U96" s="62"/>
      <c r="V96" s="6"/>
      <c r="W96" s="6"/>
      <c r="X96" s="6"/>
      <c r="Y96" s="6"/>
    </row>
    <row r="97">
      <c r="B97" s="6" t="s">
        <v>557</v>
      </c>
      <c r="C97" s="6" t="s">
        <v>45</v>
      </c>
      <c r="D97" s="18"/>
      <c r="E97" s="6" t="s">
        <v>416</v>
      </c>
      <c r="F97" s="6"/>
      <c r="G97" s="6"/>
      <c r="H97" s="13">
        <f>if(C97="Примитивная",'Базовые таблицы'!$I$4,if(C97="Железа",'Базовые таблицы'!$I$5,0))-0.1*(M97-1)</f>
        <v>1.1</v>
      </c>
      <c r="I97" s="13">
        <f t="shared" si="1"/>
        <v>0</v>
      </c>
      <c r="J97" s="6"/>
      <c r="K97" s="69"/>
      <c r="L97" s="69"/>
      <c r="M97" s="6"/>
      <c r="N97" s="13" t="str">
        <f t="shared" si="2"/>
        <v>#DIV/0!</v>
      </c>
      <c r="O97" s="6"/>
      <c r="P97" s="6"/>
      <c r="Q97" s="6"/>
      <c r="R97" s="6"/>
      <c r="S97" s="6"/>
      <c r="T97" s="6"/>
      <c r="U97" s="62"/>
      <c r="V97" s="6"/>
      <c r="W97" s="6"/>
      <c r="X97" s="6"/>
      <c r="Y97" s="6"/>
    </row>
    <row r="98">
      <c r="B98" s="6" t="s">
        <v>558</v>
      </c>
      <c r="C98" s="6" t="s">
        <v>45</v>
      </c>
      <c r="D98" s="18"/>
      <c r="E98" s="6" t="s">
        <v>534</v>
      </c>
      <c r="F98" s="6"/>
      <c r="G98" s="6"/>
      <c r="H98" s="13">
        <f>if(C98="Примитивная",'Базовые таблицы'!$I$4,if(C98="Железа",'Базовые таблицы'!$I$5,0))-0.1*(M98-1)</f>
        <v>1.1</v>
      </c>
      <c r="I98" s="13">
        <f t="shared" si="1"/>
        <v>0</v>
      </c>
      <c r="J98" s="6"/>
      <c r="K98" s="69"/>
      <c r="L98" s="69"/>
      <c r="M98" s="6"/>
      <c r="N98" s="13" t="str">
        <f t="shared" si="2"/>
        <v>#DIV/0!</v>
      </c>
      <c r="O98" s="6"/>
      <c r="P98" s="6"/>
      <c r="Q98" s="6"/>
      <c r="R98" s="6"/>
      <c r="S98" s="6"/>
      <c r="T98" s="6"/>
      <c r="U98" s="62"/>
      <c r="V98" s="6"/>
      <c r="W98" s="6"/>
      <c r="X98" s="6"/>
      <c r="Y98" s="6"/>
    </row>
    <row r="99">
      <c r="B99" s="6"/>
      <c r="C99" s="18"/>
      <c r="D99" s="18"/>
      <c r="E99" s="6"/>
      <c r="F99" s="6"/>
      <c r="G99" s="6"/>
      <c r="H99" s="13">
        <f>if(C99="Примитивная",'Базовые таблицы'!$I$4,if(C99="Железа",'Базовые таблицы'!$I$5,0))-0.1*(M99-1)</f>
        <v>0.1</v>
      </c>
      <c r="I99" s="13">
        <f t="shared" si="1"/>
        <v>0</v>
      </c>
      <c r="J99" s="6"/>
      <c r="K99" s="69"/>
      <c r="L99" s="69"/>
      <c r="M99" s="6"/>
      <c r="N99" s="13" t="str">
        <f t="shared" si="2"/>
        <v>#DIV/0!</v>
      </c>
      <c r="O99" s="6"/>
      <c r="P99" s="6"/>
      <c r="Q99" s="6"/>
      <c r="R99" s="6"/>
      <c r="S99" s="6"/>
      <c r="T99" s="6"/>
      <c r="U99" s="62"/>
      <c r="V99" s="6"/>
      <c r="W99" s="6"/>
      <c r="X99" s="6"/>
      <c r="Y99" s="6"/>
    </row>
    <row r="100">
      <c r="B100" s="6"/>
      <c r="C100" s="18"/>
      <c r="D100" s="18"/>
      <c r="E100" s="6"/>
      <c r="F100" s="6"/>
      <c r="G100" s="6"/>
      <c r="H100" s="13">
        <f>if(C100="Примитивная",'Базовые таблицы'!$I$4,if(C100="Железа",'Базовые таблицы'!$I$5,0))-0.1*(M100-1)</f>
        <v>0.1</v>
      </c>
      <c r="I100" s="13">
        <f t="shared" si="1"/>
        <v>0</v>
      </c>
      <c r="J100" s="6"/>
      <c r="K100" s="69"/>
      <c r="L100" s="69"/>
      <c r="M100" s="6"/>
      <c r="N100" s="13" t="str">
        <f t="shared" si="2"/>
        <v>#DIV/0!</v>
      </c>
      <c r="O100" s="6"/>
      <c r="P100" s="6"/>
      <c r="Q100" s="6"/>
      <c r="R100" s="6"/>
      <c r="S100" s="6"/>
      <c r="T100" s="6"/>
      <c r="U100" s="62"/>
      <c r="V100" s="6"/>
      <c r="W100" s="6"/>
      <c r="X100" s="6"/>
      <c r="Y100" s="6"/>
    </row>
    <row r="101">
      <c r="B101" s="6"/>
      <c r="C101" s="18"/>
      <c r="D101" s="18"/>
      <c r="E101" s="6"/>
      <c r="F101" s="6"/>
      <c r="G101" s="6"/>
      <c r="H101" s="13">
        <f>if(C101="Примитивная",'Базовые таблицы'!$I$4,if(C101="Железа",'Базовые таблицы'!$I$5,0))-0.1*(M101-1)</f>
        <v>0.1</v>
      </c>
      <c r="I101" s="13">
        <f t="shared" si="1"/>
        <v>0</v>
      </c>
      <c r="J101" s="6"/>
      <c r="K101" s="69"/>
      <c r="L101" s="69"/>
      <c r="M101" s="6"/>
      <c r="N101" s="13" t="str">
        <f t="shared" si="2"/>
        <v>#DIV/0!</v>
      </c>
      <c r="O101" s="6"/>
      <c r="P101" s="6"/>
      <c r="Q101" s="6"/>
      <c r="R101" s="6"/>
      <c r="S101" s="6"/>
      <c r="T101" s="6"/>
      <c r="U101" s="62"/>
      <c r="V101" s="6"/>
      <c r="W101" s="6"/>
      <c r="X101" s="6"/>
      <c r="Y101" s="6"/>
    </row>
    <row r="102">
      <c r="B102" s="6"/>
      <c r="C102" s="18"/>
      <c r="D102" s="18"/>
      <c r="E102" s="6"/>
      <c r="F102" s="6"/>
      <c r="G102" s="6"/>
      <c r="H102" s="13">
        <f>if(C102="Примитивная",'Базовые таблицы'!$I$4,if(C102="Железа",'Базовые таблицы'!$I$5,0))-0.1*(M102-1)</f>
        <v>0.1</v>
      </c>
      <c r="I102" s="13">
        <f t="shared" si="1"/>
        <v>0</v>
      </c>
      <c r="J102" s="6"/>
      <c r="K102" s="69"/>
      <c r="L102" s="69"/>
      <c r="M102" s="6"/>
      <c r="N102" s="13" t="str">
        <f t="shared" si="2"/>
        <v>#DIV/0!</v>
      </c>
      <c r="O102" s="6"/>
      <c r="P102" s="6"/>
      <c r="Q102" s="6"/>
      <c r="R102" s="6"/>
      <c r="S102" s="6"/>
      <c r="T102" s="6"/>
      <c r="U102" s="62"/>
      <c r="V102" s="6"/>
      <c r="W102" s="6"/>
      <c r="X102" s="6"/>
      <c r="Y102" s="6"/>
    </row>
    <row r="103">
      <c r="B103" s="6"/>
      <c r="C103" s="18"/>
      <c r="D103" s="18"/>
      <c r="E103" s="6"/>
      <c r="F103" s="6"/>
      <c r="G103" s="6"/>
      <c r="H103" s="13">
        <f>if(C103="Примитивная",'Базовые таблицы'!$I$4,if(C103="Железа",'Базовые таблицы'!$I$5,0))-0.1*(M103-1)</f>
        <v>0.1</v>
      </c>
      <c r="I103" s="13">
        <f t="shared" si="1"/>
        <v>0</v>
      </c>
      <c r="J103" s="6"/>
      <c r="K103" s="69"/>
      <c r="L103" s="69"/>
      <c r="M103" s="6"/>
      <c r="N103" s="13" t="str">
        <f t="shared" si="2"/>
        <v>#DIV/0!</v>
      </c>
      <c r="O103" s="6"/>
      <c r="P103" s="6"/>
      <c r="Q103" s="6"/>
      <c r="R103" s="6"/>
      <c r="S103" s="6"/>
      <c r="T103" s="6"/>
      <c r="U103" s="62"/>
      <c r="V103" s="6"/>
      <c r="W103" s="6"/>
      <c r="X103" s="6"/>
      <c r="Y103" s="6"/>
    </row>
    <row r="104">
      <c r="B104" s="6"/>
      <c r="C104" s="18"/>
      <c r="D104" s="18"/>
      <c r="E104" s="6"/>
      <c r="F104" s="6"/>
      <c r="G104" s="6"/>
      <c r="H104" s="13">
        <f>if(C104="Примитивная",'Базовые таблицы'!$I$4,if(C104="Железа",'Базовые таблицы'!$I$5,0))-0.1*(M104-1)</f>
        <v>0.1</v>
      </c>
      <c r="I104" s="13">
        <f t="shared" si="1"/>
        <v>0</v>
      </c>
      <c r="J104" s="6"/>
      <c r="K104" s="69"/>
      <c r="L104" s="69"/>
      <c r="M104" s="6"/>
      <c r="N104" s="13" t="str">
        <f t="shared" si="2"/>
        <v>#DIV/0!</v>
      </c>
      <c r="O104" s="6"/>
      <c r="P104" s="6"/>
      <c r="Q104" s="6"/>
      <c r="R104" s="6"/>
      <c r="S104" s="6"/>
      <c r="T104" s="6"/>
      <c r="U104" s="62"/>
      <c r="V104" s="6"/>
      <c r="W104" s="6"/>
      <c r="X104" s="6"/>
      <c r="Y104" s="6"/>
    </row>
    <row r="105">
      <c r="U105" s="1"/>
      <c r="V105" s="1"/>
      <c r="W105" s="1"/>
      <c r="X105" s="6"/>
    </row>
    <row r="106">
      <c r="U106" s="1"/>
      <c r="V106" s="1"/>
      <c r="W106" s="1"/>
    </row>
    <row r="107">
      <c r="B107" s="70" t="s">
        <v>559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4"/>
      <c r="U107" s="1"/>
      <c r="V107" s="1"/>
      <c r="W107" s="1"/>
    </row>
    <row r="108">
      <c r="B108" s="71" t="s">
        <v>356</v>
      </c>
      <c r="C108" s="71" t="s">
        <v>20</v>
      </c>
      <c r="D108" s="71" t="s">
        <v>214</v>
      </c>
      <c r="E108" s="71" t="s">
        <v>405</v>
      </c>
      <c r="F108" s="71"/>
      <c r="G108" s="71"/>
      <c r="H108" s="71"/>
      <c r="I108" s="71"/>
      <c r="J108" s="71"/>
      <c r="K108" s="71"/>
      <c r="L108" s="72"/>
      <c r="M108" s="72"/>
      <c r="N108" s="72"/>
      <c r="O108" s="72"/>
      <c r="P108" s="72"/>
      <c r="Q108" s="73" t="s">
        <v>375</v>
      </c>
      <c r="R108" s="3"/>
      <c r="S108" s="4"/>
      <c r="U108" s="1"/>
      <c r="V108" s="1"/>
      <c r="W108" s="1"/>
    </row>
    <row r="109"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U109" s="1"/>
      <c r="V109" s="1"/>
      <c r="W109" s="1"/>
    </row>
    <row r="110"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U110" s="1"/>
      <c r="V110" s="1"/>
      <c r="W110" s="1"/>
    </row>
    <row r="111"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U111" s="1"/>
      <c r="V111" s="1"/>
      <c r="W111" s="1"/>
    </row>
    <row r="112"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U112" s="1"/>
      <c r="V112" s="1"/>
      <c r="W112" s="1"/>
    </row>
    <row r="113"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U113" s="1"/>
      <c r="V113" s="1"/>
      <c r="W113" s="1"/>
    </row>
    <row r="114"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U114" s="1"/>
      <c r="V114" s="1"/>
      <c r="W114" s="1"/>
    </row>
    <row r="115"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U115" s="1"/>
      <c r="V115" s="1"/>
      <c r="W115" s="1"/>
    </row>
    <row r="116"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U116" s="1"/>
      <c r="V116" s="1"/>
      <c r="W116" s="1"/>
    </row>
    <row r="117"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U117" s="1"/>
      <c r="V117" s="1"/>
      <c r="W117" s="1"/>
    </row>
    <row r="118">
      <c r="U118" s="1"/>
      <c r="V118" s="1"/>
      <c r="W118" s="1"/>
    </row>
    <row r="119">
      <c r="U119" s="1"/>
      <c r="V119" s="1"/>
      <c r="W119" s="1"/>
    </row>
    <row r="120">
      <c r="U120" s="1"/>
      <c r="V120" s="1"/>
      <c r="W120" s="1"/>
    </row>
    <row r="121">
      <c r="U121" s="1"/>
      <c r="V121" s="1"/>
      <c r="W121" s="1"/>
    </row>
    <row r="122">
      <c r="U122" s="1"/>
      <c r="V122" s="1"/>
      <c r="W122" s="1"/>
    </row>
    <row r="123">
      <c r="U123" s="1"/>
      <c r="V123" s="1"/>
      <c r="W123" s="1"/>
    </row>
    <row r="124">
      <c r="U124" s="1"/>
      <c r="V124" s="1"/>
      <c r="W124" s="1"/>
    </row>
    <row r="125">
      <c r="U125" s="1"/>
      <c r="V125" s="1"/>
      <c r="W125" s="1"/>
    </row>
    <row r="126">
      <c r="U126" s="1"/>
      <c r="V126" s="1"/>
      <c r="W126" s="1"/>
    </row>
    <row r="127">
      <c r="U127" s="1"/>
      <c r="V127" s="1"/>
      <c r="W127" s="1"/>
    </row>
    <row r="128">
      <c r="U128" s="1"/>
      <c r="V128" s="1"/>
      <c r="W128" s="1"/>
    </row>
    <row r="129">
      <c r="U129" s="1"/>
      <c r="V129" s="1"/>
      <c r="W129" s="1"/>
    </row>
    <row r="130">
      <c r="U130" s="1"/>
      <c r="V130" s="1"/>
      <c r="W130" s="1"/>
    </row>
    <row r="131">
      <c r="U131" s="1"/>
      <c r="V131" s="1"/>
      <c r="W131" s="1"/>
    </row>
    <row r="132">
      <c r="U132" s="1"/>
      <c r="V132" s="1"/>
      <c r="W132" s="1"/>
    </row>
    <row r="133">
      <c r="U133" s="1"/>
      <c r="V133" s="1"/>
      <c r="W133" s="1"/>
    </row>
    <row r="134">
      <c r="U134" s="1"/>
      <c r="V134" s="1"/>
      <c r="W134" s="1"/>
    </row>
    <row r="135">
      <c r="U135" s="1"/>
      <c r="V135" s="1"/>
      <c r="W135" s="1"/>
    </row>
    <row r="136">
      <c r="U136" s="1"/>
      <c r="V136" s="1"/>
      <c r="W136" s="1"/>
    </row>
    <row r="137">
      <c r="U137" s="1"/>
      <c r="V137" s="1"/>
      <c r="W137" s="1"/>
    </row>
    <row r="138">
      <c r="U138" s="1"/>
      <c r="V138" s="1"/>
      <c r="W138" s="1"/>
    </row>
    <row r="139">
      <c r="U139" s="1"/>
      <c r="V139" s="1"/>
      <c r="W139" s="1"/>
    </row>
    <row r="140">
      <c r="U140" s="1"/>
      <c r="V140" s="1"/>
      <c r="W140" s="1"/>
    </row>
    <row r="141">
      <c r="U141" s="1"/>
      <c r="V141" s="1"/>
      <c r="W141" s="1"/>
    </row>
    <row r="142">
      <c r="U142" s="1"/>
      <c r="V142" s="1"/>
      <c r="W142" s="1"/>
    </row>
    <row r="143">
      <c r="U143" s="1"/>
      <c r="V143" s="1"/>
      <c r="W143" s="1"/>
    </row>
    <row r="144">
      <c r="U144" s="1"/>
      <c r="V144" s="1"/>
      <c r="W144" s="1"/>
    </row>
    <row r="145">
      <c r="U145" s="1"/>
      <c r="V145" s="1"/>
      <c r="W145" s="1"/>
    </row>
    <row r="146">
      <c r="U146" s="1"/>
      <c r="V146" s="1"/>
      <c r="W146" s="1"/>
    </row>
    <row r="147">
      <c r="U147" s="1"/>
      <c r="V147" s="1"/>
      <c r="W147" s="1"/>
    </row>
    <row r="148">
      <c r="U148" s="1"/>
      <c r="V148" s="1"/>
      <c r="W148" s="1"/>
    </row>
    <row r="149">
      <c r="U149" s="1"/>
      <c r="V149" s="1"/>
      <c r="W149" s="1"/>
    </row>
    <row r="150">
      <c r="U150" s="1"/>
      <c r="V150" s="1"/>
      <c r="W150" s="1"/>
    </row>
    <row r="151">
      <c r="U151" s="1"/>
      <c r="V151" s="1"/>
      <c r="W151" s="1"/>
    </row>
    <row r="152">
      <c r="U152" s="1"/>
      <c r="V152" s="1"/>
      <c r="W152" s="1"/>
    </row>
    <row r="153">
      <c r="U153" s="1"/>
      <c r="V153" s="1"/>
      <c r="W153" s="1"/>
    </row>
    <row r="154">
      <c r="U154" s="1"/>
      <c r="V154" s="1"/>
      <c r="W154" s="1"/>
    </row>
    <row r="155">
      <c r="U155" s="1"/>
      <c r="V155" s="1"/>
      <c r="W155" s="1"/>
    </row>
    <row r="156">
      <c r="U156" s="1"/>
      <c r="V156" s="1"/>
      <c r="W156" s="1"/>
    </row>
    <row r="157">
      <c r="U157" s="1"/>
      <c r="V157" s="1"/>
      <c r="W157" s="1"/>
    </row>
    <row r="158">
      <c r="U158" s="1"/>
      <c r="V158" s="1"/>
      <c r="W158" s="1"/>
    </row>
    <row r="159">
      <c r="U159" s="1"/>
      <c r="V159" s="1"/>
      <c r="W159" s="1"/>
    </row>
    <row r="160">
      <c r="U160" s="1"/>
      <c r="V160" s="1"/>
      <c r="W160" s="1"/>
    </row>
    <row r="161">
      <c r="U161" s="1"/>
      <c r="V161" s="1"/>
      <c r="W161" s="1"/>
    </row>
    <row r="162">
      <c r="U162" s="1"/>
      <c r="V162" s="1"/>
      <c r="W162" s="1"/>
    </row>
    <row r="163">
      <c r="U163" s="1"/>
      <c r="V163" s="1"/>
      <c r="W163" s="1"/>
    </row>
    <row r="164">
      <c r="U164" s="1"/>
      <c r="V164" s="1"/>
      <c r="W164" s="1"/>
    </row>
    <row r="165">
      <c r="U165" s="1"/>
      <c r="V165" s="1"/>
      <c r="W165" s="1"/>
    </row>
    <row r="166">
      <c r="U166" s="1"/>
      <c r="V166" s="1"/>
      <c r="W166" s="1"/>
    </row>
    <row r="167">
      <c r="U167" s="1"/>
      <c r="V167" s="1"/>
      <c r="W167" s="1"/>
    </row>
    <row r="168">
      <c r="U168" s="1"/>
      <c r="V168" s="1"/>
      <c r="W168" s="1"/>
    </row>
    <row r="169">
      <c r="U169" s="1"/>
      <c r="V169" s="1"/>
      <c r="W169" s="1"/>
    </row>
    <row r="170">
      <c r="U170" s="1"/>
      <c r="V170" s="1"/>
      <c r="W170" s="1"/>
    </row>
    <row r="171">
      <c r="U171" s="1"/>
      <c r="V171" s="1"/>
      <c r="W171" s="1"/>
    </row>
    <row r="172">
      <c r="U172" s="1"/>
      <c r="V172" s="1"/>
      <c r="W172" s="1"/>
    </row>
    <row r="173">
      <c r="U173" s="1"/>
      <c r="V173" s="1"/>
      <c r="W173" s="1"/>
    </row>
    <row r="174">
      <c r="U174" s="1"/>
      <c r="V174" s="1"/>
      <c r="W174" s="1"/>
    </row>
    <row r="175">
      <c r="U175" s="1"/>
      <c r="V175" s="1"/>
      <c r="W175" s="1"/>
    </row>
    <row r="176">
      <c r="U176" s="1"/>
      <c r="V176" s="1"/>
      <c r="W176" s="1"/>
    </row>
    <row r="177">
      <c r="U177" s="1"/>
      <c r="V177" s="1"/>
      <c r="W177" s="1"/>
    </row>
    <row r="178">
      <c r="U178" s="1"/>
      <c r="V178" s="1"/>
      <c r="W178" s="1"/>
    </row>
    <row r="179">
      <c r="U179" s="1"/>
      <c r="V179" s="1"/>
      <c r="W179" s="1"/>
    </row>
    <row r="180">
      <c r="U180" s="1"/>
      <c r="V180" s="1"/>
      <c r="W180" s="1"/>
    </row>
    <row r="181">
      <c r="U181" s="1"/>
      <c r="V181" s="1"/>
      <c r="W181" s="1"/>
    </row>
    <row r="182">
      <c r="U182" s="1"/>
      <c r="V182" s="1"/>
      <c r="W182" s="1"/>
    </row>
    <row r="183">
      <c r="U183" s="1"/>
      <c r="V183" s="1"/>
      <c r="W183" s="1"/>
    </row>
    <row r="184">
      <c r="U184" s="1"/>
      <c r="V184" s="1"/>
      <c r="W184" s="1"/>
    </row>
    <row r="185">
      <c r="U185" s="1"/>
      <c r="V185" s="1"/>
      <c r="W185" s="1"/>
    </row>
    <row r="186">
      <c r="U186" s="1"/>
      <c r="V186" s="1"/>
      <c r="W186" s="1"/>
    </row>
    <row r="187">
      <c r="U187" s="1"/>
      <c r="V187" s="1"/>
      <c r="W187" s="1"/>
    </row>
    <row r="188">
      <c r="U188" s="1"/>
      <c r="V188" s="1"/>
      <c r="W188" s="1"/>
    </row>
    <row r="189">
      <c r="U189" s="1"/>
      <c r="V189" s="1"/>
      <c r="W189" s="1"/>
    </row>
    <row r="190">
      <c r="U190" s="1"/>
      <c r="V190" s="1"/>
      <c r="W190" s="1"/>
    </row>
    <row r="191">
      <c r="U191" s="1"/>
      <c r="V191" s="1"/>
      <c r="W191" s="1"/>
    </row>
    <row r="192">
      <c r="U192" s="1"/>
      <c r="V192" s="1"/>
      <c r="W192" s="1"/>
    </row>
    <row r="193">
      <c r="U193" s="1"/>
      <c r="V193" s="1"/>
      <c r="W193" s="1"/>
    </row>
    <row r="194">
      <c r="U194" s="1"/>
      <c r="V194" s="1"/>
      <c r="W194" s="1"/>
    </row>
    <row r="195">
      <c r="U195" s="1"/>
      <c r="V195" s="1"/>
      <c r="W195" s="1"/>
    </row>
    <row r="196">
      <c r="U196" s="1"/>
      <c r="V196" s="1"/>
      <c r="W196" s="1"/>
    </row>
    <row r="197">
      <c r="U197" s="1"/>
      <c r="V197" s="1"/>
      <c r="W197" s="1"/>
    </row>
    <row r="198">
      <c r="U198" s="1"/>
      <c r="V198" s="1"/>
      <c r="W198" s="1"/>
    </row>
    <row r="199">
      <c r="U199" s="1"/>
      <c r="V199" s="1"/>
      <c r="W199" s="1"/>
    </row>
    <row r="200">
      <c r="U200" s="1"/>
      <c r="V200" s="1"/>
      <c r="W200" s="1"/>
    </row>
    <row r="201">
      <c r="U201" s="1"/>
      <c r="V201" s="1"/>
      <c r="W201" s="1"/>
    </row>
    <row r="202">
      <c r="U202" s="1"/>
      <c r="V202" s="1"/>
      <c r="W202" s="1"/>
    </row>
    <row r="203">
      <c r="U203" s="1"/>
      <c r="V203" s="1"/>
      <c r="W203" s="1"/>
    </row>
    <row r="204">
      <c r="U204" s="1"/>
      <c r="V204" s="1"/>
      <c r="W204" s="1"/>
    </row>
    <row r="205">
      <c r="U205" s="1"/>
      <c r="V205" s="1"/>
      <c r="W205" s="1"/>
    </row>
    <row r="206">
      <c r="U206" s="1"/>
      <c r="V206" s="1"/>
      <c r="W206" s="1"/>
    </row>
    <row r="207">
      <c r="U207" s="1"/>
      <c r="V207" s="1"/>
      <c r="W207" s="1"/>
    </row>
    <row r="208">
      <c r="U208" s="1"/>
      <c r="V208" s="1"/>
      <c r="W208" s="1"/>
    </row>
    <row r="209">
      <c r="U209" s="1"/>
      <c r="V209" s="1"/>
      <c r="W209" s="1"/>
    </row>
    <row r="210">
      <c r="U210" s="1"/>
      <c r="V210" s="1"/>
      <c r="W210" s="1"/>
    </row>
    <row r="211">
      <c r="U211" s="1"/>
      <c r="V211" s="1"/>
      <c r="W211" s="1"/>
    </row>
    <row r="212">
      <c r="U212" s="1"/>
      <c r="V212" s="1"/>
      <c r="W212" s="1"/>
    </row>
    <row r="213">
      <c r="U213" s="1"/>
      <c r="V213" s="1"/>
      <c r="W213" s="1"/>
    </row>
    <row r="214">
      <c r="U214" s="1"/>
      <c r="V214" s="1"/>
      <c r="W214" s="1"/>
    </row>
    <row r="215">
      <c r="U215" s="1"/>
      <c r="V215" s="1"/>
      <c r="W215" s="1"/>
    </row>
    <row r="216">
      <c r="U216" s="1"/>
      <c r="V216" s="1"/>
      <c r="W216" s="1"/>
    </row>
    <row r="217">
      <c r="U217" s="1"/>
      <c r="V217" s="1"/>
      <c r="W217" s="1"/>
    </row>
    <row r="218">
      <c r="U218" s="1"/>
      <c r="V218" s="1"/>
      <c r="W218" s="1"/>
    </row>
    <row r="219">
      <c r="U219" s="1"/>
      <c r="V219" s="1"/>
      <c r="W219" s="1"/>
    </row>
    <row r="220">
      <c r="U220" s="1"/>
      <c r="V220" s="1"/>
      <c r="W220" s="1"/>
    </row>
    <row r="221">
      <c r="U221" s="1"/>
      <c r="V221" s="1"/>
      <c r="W221" s="1"/>
    </row>
    <row r="222">
      <c r="U222" s="1"/>
      <c r="V222" s="1"/>
      <c r="W222" s="1"/>
    </row>
    <row r="223">
      <c r="U223" s="1"/>
      <c r="V223" s="1"/>
      <c r="W223" s="1"/>
    </row>
    <row r="224">
      <c r="U224" s="1"/>
      <c r="V224" s="1"/>
      <c r="W224" s="1"/>
    </row>
    <row r="225">
      <c r="U225" s="1"/>
      <c r="V225" s="1"/>
      <c r="W225" s="1"/>
    </row>
    <row r="226">
      <c r="U226" s="1"/>
      <c r="V226" s="1"/>
      <c r="W226" s="1"/>
    </row>
    <row r="227">
      <c r="U227" s="1"/>
      <c r="V227" s="1"/>
      <c r="W227" s="1"/>
    </row>
    <row r="228">
      <c r="U228" s="1"/>
      <c r="V228" s="1"/>
      <c r="W228" s="1"/>
    </row>
    <row r="229">
      <c r="U229" s="1"/>
      <c r="V229" s="1"/>
      <c r="W229" s="1"/>
    </row>
    <row r="230">
      <c r="U230" s="1"/>
      <c r="V230" s="1"/>
      <c r="W230" s="1"/>
    </row>
    <row r="231">
      <c r="U231" s="1"/>
      <c r="V231" s="1"/>
      <c r="W231" s="1"/>
    </row>
    <row r="232">
      <c r="U232" s="1"/>
      <c r="V232" s="1"/>
      <c r="W232" s="1"/>
    </row>
    <row r="233">
      <c r="U233" s="1"/>
      <c r="V233" s="1"/>
      <c r="W233" s="1"/>
    </row>
    <row r="234">
      <c r="U234" s="1"/>
      <c r="V234" s="1"/>
      <c r="W234" s="1"/>
    </row>
    <row r="235">
      <c r="U235" s="1"/>
      <c r="V235" s="1"/>
      <c r="W235" s="1"/>
    </row>
    <row r="236">
      <c r="U236" s="1"/>
      <c r="V236" s="1"/>
      <c r="W236" s="1"/>
    </row>
    <row r="237">
      <c r="U237" s="1"/>
      <c r="V237" s="1"/>
      <c r="W237" s="1"/>
    </row>
    <row r="238">
      <c r="U238" s="1"/>
      <c r="V238" s="1"/>
      <c r="W238" s="1"/>
    </row>
    <row r="239">
      <c r="U239" s="1"/>
      <c r="V239" s="1"/>
      <c r="W239" s="1"/>
    </row>
    <row r="240">
      <c r="U240" s="1"/>
      <c r="V240" s="1"/>
      <c r="W240" s="1"/>
    </row>
    <row r="241">
      <c r="U241" s="1"/>
      <c r="V241" s="1"/>
      <c r="W241" s="1"/>
    </row>
    <row r="242">
      <c r="U242" s="1"/>
      <c r="V242" s="1"/>
      <c r="W242" s="1"/>
    </row>
    <row r="243">
      <c r="U243" s="1"/>
      <c r="V243" s="1"/>
      <c r="W243" s="1"/>
    </row>
    <row r="244">
      <c r="U244" s="1"/>
      <c r="V244" s="1"/>
      <c r="W244" s="1"/>
    </row>
    <row r="245">
      <c r="U245" s="1"/>
      <c r="V245" s="1"/>
      <c r="W245" s="1"/>
    </row>
    <row r="246">
      <c r="U246" s="1"/>
      <c r="V246" s="1"/>
      <c r="W246" s="1"/>
    </row>
    <row r="247">
      <c r="U247" s="1"/>
      <c r="V247" s="1"/>
      <c r="W247" s="1"/>
    </row>
    <row r="248">
      <c r="U248" s="1"/>
      <c r="V248" s="1"/>
      <c r="W248" s="1"/>
    </row>
    <row r="249">
      <c r="U249" s="1"/>
      <c r="V249" s="1"/>
      <c r="W249" s="1"/>
    </row>
    <row r="250">
      <c r="U250" s="1"/>
      <c r="V250" s="1"/>
      <c r="W250" s="1"/>
    </row>
    <row r="251">
      <c r="U251" s="1"/>
      <c r="V251" s="1"/>
      <c r="W251" s="1"/>
    </row>
    <row r="252">
      <c r="U252" s="1"/>
      <c r="V252" s="1"/>
      <c r="W252" s="1"/>
    </row>
    <row r="253">
      <c r="U253" s="1"/>
      <c r="V253" s="1"/>
      <c r="W253" s="1"/>
    </row>
    <row r="254">
      <c r="U254" s="1"/>
      <c r="V254" s="1"/>
      <c r="W254" s="1"/>
    </row>
    <row r="255">
      <c r="U255" s="1"/>
      <c r="V255" s="1"/>
      <c r="W255" s="1"/>
    </row>
    <row r="256">
      <c r="U256" s="1"/>
      <c r="V256" s="1"/>
      <c r="W256" s="1"/>
    </row>
    <row r="257">
      <c r="U257" s="1"/>
      <c r="V257" s="1"/>
      <c r="W257" s="1"/>
    </row>
    <row r="258">
      <c r="U258" s="1"/>
      <c r="V258" s="1"/>
      <c r="W258" s="1"/>
    </row>
    <row r="259">
      <c r="U259" s="1"/>
      <c r="V259" s="1"/>
      <c r="W259" s="1"/>
    </row>
    <row r="260">
      <c r="U260" s="1"/>
      <c r="V260" s="1"/>
      <c r="W260" s="1"/>
    </row>
    <row r="261">
      <c r="U261" s="1"/>
      <c r="V261" s="1"/>
      <c r="W261" s="1"/>
    </row>
    <row r="262">
      <c r="U262" s="1"/>
      <c r="V262" s="1"/>
      <c r="W262" s="1"/>
    </row>
    <row r="263">
      <c r="U263" s="1"/>
      <c r="V263" s="1"/>
      <c r="W263" s="1"/>
    </row>
    <row r="264">
      <c r="U264" s="1"/>
      <c r="V264" s="1"/>
      <c r="W264" s="1"/>
    </row>
    <row r="265">
      <c r="U265" s="1"/>
      <c r="V265" s="1"/>
      <c r="W265" s="1"/>
    </row>
    <row r="266">
      <c r="U266" s="1"/>
      <c r="V266" s="1"/>
      <c r="W266" s="1"/>
    </row>
    <row r="267">
      <c r="U267" s="1"/>
      <c r="V267" s="1"/>
      <c r="W267" s="1"/>
    </row>
    <row r="268">
      <c r="U268" s="1"/>
      <c r="V268" s="1"/>
      <c r="W268" s="1"/>
    </row>
    <row r="269">
      <c r="U269" s="1"/>
      <c r="V269" s="1"/>
      <c r="W269" s="1"/>
    </row>
    <row r="270">
      <c r="U270" s="1"/>
      <c r="V270" s="1"/>
      <c r="W270" s="1"/>
    </row>
    <row r="271">
      <c r="U271" s="1"/>
      <c r="V271" s="1"/>
      <c r="W271" s="1"/>
    </row>
    <row r="272">
      <c r="U272" s="1"/>
      <c r="V272" s="1"/>
      <c r="W272" s="1"/>
    </row>
    <row r="273">
      <c r="U273" s="1"/>
      <c r="V273" s="1"/>
      <c r="W273" s="1"/>
    </row>
    <row r="274">
      <c r="U274" s="1"/>
      <c r="V274" s="1"/>
      <c r="W274" s="1"/>
    </row>
    <row r="275">
      <c r="U275" s="1"/>
      <c r="V275" s="1"/>
      <c r="W275" s="1"/>
    </row>
    <row r="276">
      <c r="U276" s="1"/>
      <c r="V276" s="1"/>
      <c r="W276" s="1"/>
    </row>
    <row r="277">
      <c r="U277" s="1"/>
      <c r="V277" s="1"/>
      <c r="W277" s="1"/>
    </row>
    <row r="278">
      <c r="U278" s="1"/>
      <c r="V278" s="1"/>
      <c r="W278" s="1"/>
    </row>
    <row r="279">
      <c r="U279" s="1"/>
      <c r="V279" s="1"/>
      <c r="W279" s="1"/>
    </row>
    <row r="280">
      <c r="U280" s="1"/>
      <c r="V280" s="1"/>
      <c r="W280" s="1"/>
    </row>
    <row r="281">
      <c r="U281" s="1"/>
      <c r="V281" s="1"/>
      <c r="W281" s="1"/>
    </row>
    <row r="282">
      <c r="U282" s="1"/>
      <c r="V282" s="1"/>
      <c r="W282" s="1"/>
    </row>
    <row r="283">
      <c r="U283" s="1"/>
      <c r="V283" s="1"/>
      <c r="W283" s="1"/>
    </row>
    <row r="284">
      <c r="U284" s="1"/>
      <c r="V284" s="1"/>
      <c r="W284" s="1"/>
    </row>
    <row r="285">
      <c r="U285" s="1"/>
      <c r="V285" s="1"/>
      <c r="W285" s="1"/>
    </row>
    <row r="286">
      <c r="U286" s="1"/>
      <c r="V286" s="1"/>
      <c r="W286" s="1"/>
    </row>
    <row r="287">
      <c r="U287" s="1"/>
      <c r="V287" s="1"/>
      <c r="W287" s="1"/>
    </row>
    <row r="288">
      <c r="U288" s="1"/>
      <c r="V288" s="1"/>
      <c r="W288" s="1"/>
    </row>
    <row r="289">
      <c r="U289" s="1"/>
      <c r="V289" s="1"/>
      <c r="W289" s="1"/>
    </row>
    <row r="290">
      <c r="U290" s="1"/>
      <c r="V290" s="1"/>
      <c r="W290" s="1"/>
    </row>
    <row r="291">
      <c r="U291" s="1"/>
      <c r="V291" s="1"/>
      <c r="W291" s="1"/>
    </row>
    <row r="292">
      <c r="U292" s="1"/>
      <c r="V292" s="1"/>
      <c r="W292" s="1"/>
    </row>
    <row r="293">
      <c r="U293" s="1"/>
      <c r="V293" s="1"/>
      <c r="W293" s="1"/>
    </row>
    <row r="294">
      <c r="U294" s="1"/>
      <c r="V294" s="1"/>
      <c r="W294" s="1"/>
    </row>
    <row r="295">
      <c r="U295" s="1"/>
      <c r="V295" s="1"/>
      <c r="W295" s="1"/>
    </row>
    <row r="296">
      <c r="U296" s="1"/>
      <c r="V296" s="1"/>
      <c r="W296" s="1"/>
    </row>
    <row r="297">
      <c r="U297" s="1"/>
      <c r="V297" s="1"/>
      <c r="W297" s="1"/>
    </row>
    <row r="298">
      <c r="U298" s="1"/>
      <c r="V298" s="1"/>
      <c r="W298" s="1"/>
    </row>
    <row r="299">
      <c r="U299" s="1"/>
      <c r="V299" s="1"/>
      <c r="W299" s="1"/>
    </row>
    <row r="300">
      <c r="U300" s="1"/>
      <c r="V300" s="1"/>
      <c r="W300" s="1"/>
    </row>
    <row r="301">
      <c r="U301" s="1"/>
      <c r="V301" s="1"/>
      <c r="W301" s="1"/>
    </row>
    <row r="302">
      <c r="U302" s="1"/>
      <c r="V302" s="1"/>
      <c r="W302" s="1"/>
    </row>
    <row r="303">
      <c r="U303" s="1"/>
      <c r="V303" s="1"/>
      <c r="W303" s="1"/>
    </row>
    <row r="304">
      <c r="U304" s="1"/>
      <c r="V304" s="1"/>
      <c r="W304" s="1"/>
    </row>
    <row r="305">
      <c r="U305" s="1"/>
      <c r="V305" s="1"/>
      <c r="W305" s="1"/>
    </row>
    <row r="306">
      <c r="U306" s="1"/>
      <c r="V306" s="1"/>
      <c r="W306" s="1"/>
    </row>
    <row r="307">
      <c r="U307" s="1"/>
      <c r="V307" s="1"/>
      <c r="W307" s="1"/>
    </row>
    <row r="308">
      <c r="U308" s="1"/>
      <c r="V308" s="1"/>
      <c r="W308" s="1"/>
    </row>
    <row r="309">
      <c r="U309" s="1"/>
      <c r="V309" s="1"/>
      <c r="W309" s="1"/>
    </row>
    <row r="310">
      <c r="U310" s="1"/>
      <c r="V310" s="1"/>
      <c r="W310" s="1"/>
    </row>
    <row r="311">
      <c r="U311" s="1"/>
      <c r="V311" s="1"/>
      <c r="W311" s="1"/>
    </row>
    <row r="312">
      <c r="U312" s="1"/>
      <c r="V312" s="1"/>
      <c r="W312" s="1"/>
    </row>
    <row r="313">
      <c r="U313" s="1"/>
      <c r="V313" s="1"/>
      <c r="W313" s="1"/>
    </row>
    <row r="314">
      <c r="U314" s="1"/>
      <c r="V314" s="1"/>
      <c r="W314" s="1"/>
    </row>
    <row r="315">
      <c r="U315" s="1"/>
      <c r="V315" s="1"/>
      <c r="W315" s="1"/>
    </row>
    <row r="316">
      <c r="U316" s="1"/>
      <c r="V316" s="1"/>
      <c r="W316" s="1"/>
    </row>
    <row r="317">
      <c r="U317" s="1"/>
      <c r="V317" s="1"/>
      <c r="W317" s="1"/>
    </row>
    <row r="318">
      <c r="U318" s="1"/>
      <c r="V318" s="1"/>
      <c r="W318" s="1"/>
    </row>
    <row r="319">
      <c r="U319" s="1"/>
      <c r="V319" s="1"/>
      <c r="W319" s="1"/>
    </row>
    <row r="320">
      <c r="U320" s="1"/>
      <c r="V320" s="1"/>
      <c r="W320" s="1"/>
    </row>
    <row r="321">
      <c r="U321" s="1"/>
      <c r="V321" s="1"/>
      <c r="W321" s="1"/>
    </row>
    <row r="322">
      <c r="U322" s="1"/>
      <c r="V322" s="1"/>
      <c r="W322" s="1"/>
    </row>
    <row r="323">
      <c r="U323" s="1"/>
      <c r="V323" s="1"/>
      <c r="W323" s="1"/>
    </row>
    <row r="324">
      <c r="U324" s="1"/>
      <c r="V324" s="1"/>
      <c r="W324" s="1"/>
    </row>
    <row r="325">
      <c r="U325" s="1"/>
      <c r="V325" s="1"/>
      <c r="W325" s="1"/>
    </row>
    <row r="326">
      <c r="U326" s="1"/>
      <c r="V326" s="1"/>
      <c r="W326" s="1"/>
    </row>
    <row r="327">
      <c r="U327" s="1"/>
      <c r="V327" s="1"/>
      <c r="W327" s="1"/>
    </row>
    <row r="328">
      <c r="U328" s="1"/>
      <c r="V328" s="1"/>
      <c r="W328" s="1"/>
    </row>
    <row r="329">
      <c r="U329" s="1"/>
      <c r="V329" s="1"/>
      <c r="W329" s="1"/>
    </row>
    <row r="330">
      <c r="U330" s="1"/>
      <c r="V330" s="1"/>
      <c r="W330" s="1"/>
    </row>
    <row r="331">
      <c r="U331" s="1"/>
      <c r="V331" s="1"/>
      <c r="W331" s="1"/>
    </row>
    <row r="332">
      <c r="U332" s="1"/>
      <c r="V332" s="1"/>
      <c r="W332" s="1"/>
    </row>
    <row r="333">
      <c r="U333" s="1"/>
      <c r="V333" s="1"/>
      <c r="W333" s="1"/>
    </row>
    <row r="334">
      <c r="U334" s="1"/>
      <c r="V334" s="1"/>
      <c r="W334" s="1"/>
    </row>
    <row r="335">
      <c r="U335" s="1"/>
      <c r="V335" s="1"/>
      <c r="W335" s="1"/>
    </row>
    <row r="336">
      <c r="U336" s="1"/>
      <c r="V336" s="1"/>
      <c r="W336" s="1"/>
    </row>
    <row r="337">
      <c r="U337" s="1"/>
      <c r="V337" s="1"/>
      <c r="W337" s="1"/>
    </row>
    <row r="338">
      <c r="U338" s="1"/>
      <c r="V338" s="1"/>
      <c r="W338" s="1"/>
    </row>
    <row r="339">
      <c r="U339" s="1"/>
      <c r="V339" s="1"/>
      <c r="W339" s="1"/>
    </row>
    <row r="340">
      <c r="U340" s="1"/>
      <c r="V340" s="1"/>
      <c r="W340" s="1"/>
    </row>
    <row r="341">
      <c r="U341" s="1"/>
      <c r="V341" s="1"/>
      <c r="W341" s="1"/>
    </row>
    <row r="342">
      <c r="U342" s="1"/>
      <c r="V342" s="1"/>
      <c r="W342" s="1"/>
    </row>
    <row r="343">
      <c r="U343" s="1"/>
      <c r="V343" s="1"/>
      <c r="W343" s="1"/>
    </row>
    <row r="344">
      <c r="U344" s="1"/>
      <c r="V344" s="1"/>
      <c r="W344" s="1"/>
    </row>
    <row r="345">
      <c r="U345" s="1"/>
      <c r="V345" s="1"/>
      <c r="W345" s="1"/>
    </row>
    <row r="346">
      <c r="U346" s="1"/>
      <c r="V346" s="1"/>
      <c r="W346" s="1"/>
    </row>
    <row r="347">
      <c r="U347" s="1"/>
      <c r="V347" s="1"/>
      <c r="W347" s="1"/>
    </row>
    <row r="348">
      <c r="U348" s="1"/>
      <c r="V348" s="1"/>
      <c r="W348" s="1"/>
    </row>
    <row r="349">
      <c r="U349" s="1"/>
      <c r="V349" s="1"/>
      <c r="W349" s="1"/>
    </row>
    <row r="350">
      <c r="U350" s="1"/>
      <c r="V350" s="1"/>
      <c r="W350" s="1"/>
    </row>
    <row r="351">
      <c r="U351" s="1"/>
      <c r="V351" s="1"/>
      <c r="W351" s="1"/>
    </row>
    <row r="352">
      <c r="U352" s="1"/>
      <c r="V352" s="1"/>
      <c r="W352" s="1"/>
    </row>
    <row r="353">
      <c r="U353" s="1"/>
      <c r="V353" s="1"/>
      <c r="W353" s="1"/>
    </row>
    <row r="354">
      <c r="U354" s="1"/>
      <c r="V354" s="1"/>
      <c r="W354" s="1"/>
    </row>
    <row r="355">
      <c r="U355" s="1"/>
      <c r="V355" s="1"/>
      <c r="W355" s="1"/>
    </row>
    <row r="356">
      <c r="U356" s="1"/>
      <c r="V356" s="1"/>
      <c r="W356" s="1"/>
    </row>
    <row r="357">
      <c r="U357" s="1"/>
      <c r="V357" s="1"/>
      <c r="W357" s="1"/>
    </row>
    <row r="358">
      <c r="U358" s="1"/>
      <c r="V358" s="1"/>
      <c r="W358" s="1"/>
    </row>
    <row r="359">
      <c r="U359" s="1"/>
      <c r="V359" s="1"/>
      <c r="W359" s="1"/>
    </row>
    <row r="360">
      <c r="U360" s="1"/>
      <c r="V360" s="1"/>
      <c r="W360" s="1"/>
    </row>
    <row r="361">
      <c r="U361" s="1"/>
      <c r="V361" s="1"/>
      <c r="W361" s="1"/>
    </row>
    <row r="362">
      <c r="U362" s="1"/>
      <c r="V362" s="1"/>
      <c r="W362" s="1"/>
    </row>
    <row r="363">
      <c r="U363" s="1"/>
      <c r="V363" s="1"/>
      <c r="W363" s="1"/>
    </row>
    <row r="364">
      <c r="U364" s="1"/>
      <c r="V364" s="1"/>
      <c r="W364" s="1"/>
    </row>
    <row r="365">
      <c r="U365" s="1"/>
      <c r="V365" s="1"/>
      <c r="W365" s="1"/>
    </row>
    <row r="366">
      <c r="U366" s="1"/>
      <c r="V366" s="1"/>
      <c r="W366" s="1"/>
    </row>
    <row r="367">
      <c r="U367" s="1"/>
      <c r="V367" s="1"/>
      <c r="W367" s="1"/>
    </row>
    <row r="368">
      <c r="U368" s="1"/>
      <c r="V368" s="1"/>
      <c r="W368" s="1"/>
    </row>
    <row r="369">
      <c r="U369" s="1"/>
      <c r="V369" s="1"/>
      <c r="W369" s="1"/>
    </row>
    <row r="370">
      <c r="U370" s="1"/>
      <c r="V370" s="1"/>
      <c r="W370" s="1"/>
    </row>
    <row r="371">
      <c r="U371" s="1"/>
      <c r="V371" s="1"/>
      <c r="W371" s="1"/>
    </row>
    <row r="372">
      <c r="U372" s="1"/>
      <c r="V372" s="1"/>
      <c r="W372" s="1"/>
    </row>
    <row r="373">
      <c r="U373" s="1"/>
      <c r="V373" s="1"/>
      <c r="W373" s="1"/>
    </row>
    <row r="374">
      <c r="U374" s="1"/>
      <c r="V374" s="1"/>
      <c r="W374" s="1"/>
    </row>
    <row r="375">
      <c r="U375" s="1"/>
      <c r="V375" s="1"/>
      <c r="W375" s="1"/>
    </row>
    <row r="376">
      <c r="U376" s="1"/>
      <c r="V376" s="1"/>
      <c r="W376" s="1"/>
    </row>
    <row r="377">
      <c r="U377" s="1"/>
      <c r="V377" s="1"/>
      <c r="W377" s="1"/>
    </row>
    <row r="378">
      <c r="U378" s="1"/>
      <c r="V378" s="1"/>
      <c r="W378" s="1"/>
    </row>
    <row r="379">
      <c r="U379" s="1"/>
      <c r="V379" s="1"/>
      <c r="W379" s="1"/>
    </row>
    <row r="380">
      <c r="U380" s="1"/>
      <c r="V380" s="1"/>
      <c r="W380" s="1"/>
    </row>
    <row r="381">
      <c r="U381" s="1"/>
      <c r="V381" s="1"/>
      <c r="W381" s="1"/>
    </row>
    <row r="382">
      <c r="U382" s="1"/>
      <c r="V382" s="1"/>
      <c r="W382" s="1"/>
    </row>
    <row r="383">
      <c r="U383" s="1"/>
      <c r="V383" s="1"/>
      <c r="W383" s="1"/>
    </row>
    <row r="384">
      <c r="U384" s="1"/>
      <c r="V384" s="1"/>
      <c r="W384" s="1"/>
    </row>
    <row r="385">
      <c r="U385" s="1"/>
      <c r="V385" s="1"/>
      <c r="W385" s="1"/>
    </row>
    <row r="386">
      <c r="U386" s="1"/>
      <c r="V386" s="1"/>
      <c r="W386" s="1"/>
    </row>
    <row r="387">
      <c r="U387" s="1"/>
      <c r="V387" s="1"/>
      <c r="W387" s="1"/>
    </row>
    <row r="388">
      <c r="U388" s="1"/>
      <c r="V388" s="1"/>
      <c r="W388" s="1"/>
    </row>
    <row r="389">
      <c r="U389" s="1"/>
      <c r="V389" s="1"/>
      <c r="W389" s="1"/>
    </row>
    <row r="390">
      <c r="U390" s="1"/>
      <c r="V390" s="1"/>
      <c r="W390" s="1"/>
    </row>
    <row r="391">
      <c r="U391" s="1"/>
      <c r="V391" s="1"/>
      <c r="W391" s="1"/>
    </row>
    <row r="392">
      <c r="U392" s="1"/>
      <c r="V392" s="1"/>
      <c r="W392" s="1"/>
    </row>
    <row r="393">
      <c r="U393" s="1"/>
      <c r="V393" s="1"/>
      <c r="W393" s="1"/>
    </row>
    <row r="394">
      <c r="U394" s="1"/>
      <c r="V394" s="1"/>
      <c r="W394" s="1"/>
    </row>
    <row r="395">
      <c r="U395" s="1"/>
      <c r="V395" s="1"/>
      <c r="W395" s="1"/>
    </row>
    <row r="396">
      <c r="U396" s="1"/>
      <c r="V396" s="1"/>
      <c r="W396" s="1"/>
    </row>
    <row r="397">
      <c r="U397" s="1"/>
      <c r="V397" s="1"/>
      <c r="W397" s="1"/>
    </row>
    <row r="398">
      <c r="U398" s="1"/>
      <c r="V398" s="1"/>
      <c r="W398" s="1"/>
    </row>
    <row r="399">
      <c r="U399" s="1"/>
      <c r="V399" s="1"/>
      <c r="W399" s="1"/>
    </row>
    <row r="400">
      <c r="U400" s="1"/>
      <c r="V400" s="1"/>
      <c r="W400" s="1"/>
    </row>
    <row r="401">
      <c r="U401" s="1"/>
      <c r="V401" s="1"/>
      <c r="W401" s="1"/>
    </row>
    <row r="402">
      <c r="U402" s="1"/>
      <c r="V402" s="1"/>
      <c r="W402" s="1"/>
    </row>
    <row r="403">
      <c r="U403" s="1"/>
      <c r="V403" s="1"/>
      <c r="W403" s="1"/>
    </row>
    <row r="404">
      <c r="U404" s="1"/>
      <c r="V404" s="1"/>
      <c r="W404" s="1"/>
    </row>
    <row r="405">
      <c r="U405" s="1"/>
      <c r="V405" s="1"/>
      <c r="W405" s="1"/>
    </row>
    <row r="406">
      <c r="U406" s="1"/>
      <c r="V406" s="1"/>
      <c r="W406" s="1"/>
    </row>
    <row r="407">
      <c r="U407" s="1"/>
      <c r="V407" s="1"/>
      <c r="W407" s="1"/>
    </row>
    <row r="408">
      <c r="U408" s="1"/>
      <c r="V408" s="1"/>
      <c r="W408" s="1"/>
    </row>
    <row r="409">
      <c r="U409" s="1"/>
      <c r="V409" s="1"/>
      <c r="W409" s="1"/>
    </row>
    <row r="410">
      <c r="U410" s="1"/>
      <c r="V410" s="1"/>
      <c r="W410" s="1"/>
    </row>
    <row r="411">
      <c r="U411" s="1"/>
      <c r="V411" s="1"/>
      <c r="W411" s="1"/>
    </row>
    <row r="412">
      <c r="U412" s="1"/>
      <c r="V412" s="1"/>
      <c r="W412" s="1"/>
    </row>
    <row r="413">
      <c r="U413" s="1"/>
      <c r="V413" s="1"/>
      <c r="W413" s="1"/>
    </row>
    <row r="414">
      <c r="U414" s="1"/>
      <c r="V414" s="1"/>
      <c r="W414" s="1"/>
    </row>
    <row r="415">
      <c r="U415" s="1"/>
      <c r="V415" s="1"/>
      <c r="W415" s="1"/>
    </row>
    <row r="416">
      <c r="U416" s="1"/>
      <c r="V416" s="1"/>
      <c r="W416" s="1"/>
    </row>
    <row r="417">
      <c r="U417" s="1"/>
      <c r="V417" s="1"/>
      <c r="W417" s="1"/>
    </row>
    <row r="418">
      <c r="U418" s="1"/>
      <c r="V418" s="1"/>
      <c r="W418" s="1"/>
    </row>
    <row r="419">
      <c r="U419" s="1"/>
      <c r="V419" s="1"/>
      <c r="W419" s="1"/>
    </row>
    <row r="420">
      <c r="U420" s="1"/>
      <c r="V420" s="1"/>
      <c r="W420" s="1"/>
    </row>
    <row r="421">
      <c r="U421" s="1"/>
      <c r="V421" s="1"/>
      <c r="W421" s="1"/>
    </row>
    <row r="422">
      <c r="U422" s="1"/>
      <c r="V422" s="1"/>
      <c r="W422" s="1"/>
    </row>
    <row r="423">
      <c r="U423" s="1"/>
      <c r="V423" s="1"/>
      <c r="W423" s="1"/>
    </row>
    <row r="424">
      <c r="U424" s="1"/>
      <c r="V424" s="1"/>
      <c r="W424" s="1"/>
    </row>
    <row r="425">
      <c r="U425" s="1"/>
      <c r="V425" s="1"/>
      <c r="W425" s="1"/>
    </row>
    <row r="426">
      <c r="U426" s="1"/>
      <c r="V426" s="1"/>
      <c r="W426" s="1"/>
    </row>
    <row r="427">
      <c r="U427" s="1"/>
      <c r="V427" s="1"/>
      <c r="W427" s="1"/>
    </row>
    <row r="428">
      <c r="U428" s="1"/>
      <c r="V428" s="1"/>
      <c r="W428" s="1"/>
    </row>
    <row r="429">
      <c r="U429" s="1"/>
      <c r="V429" s="1"/>
      <c r="W429" s="1"/>
    </row>
    <row r="430">
      <c r="U430" s="1"/>
      <c r="V430" s="1"/>
      <c r="W430" s="1"/>
    </row>
    <row r="431">
      <c r="U431" s="1"/>
      <c r="V431" s="1"/>
      <c r="W431" s="1"/>
    </row>
    <row r="432">
      <c r="U432" s="1"/>
      <c r="V432" s="1"/>
      <c r="W432" s="1"/>
    </row>
    <row r="433">
      <c r="U433" s="1"/>
      <c r="V433" s="1"/>
      <c r="W433" s="1"/>
    </row>
    <row r="434">
      <c r="U434" s="1"/>
      <c r="V434" s="1"/>
      <c r="W434" s="1"/>
    </row>
    <row r="435">
      <c r="U435" s="1"/>
      <c r="V435" s="1"/>
      <c r="W435" s="1"/>
    </row>
    <row r="436">
      <c r="U436" s="1"/>
      <c r="V436" s="1"/>
      <c r="W436" s="1"/>
    </row>
    <row r="437">
      <c r="U437" s="1"/>
      <c r="V437" s="1"/>
      <c r="W437" s="1"/>
    </row>
    <row r="438">
      <c r="U438" s="1"/>
      <c r="V438" s="1"/>
      <c r="W438" s="1"/>
    </row>
    <row r="439">
      <c r="U439" s="1"/>
      <c r="V439" s="1"/>
      <c r="W439" s="1"/>
    </row>
    <row r="440">
      <c r="U440" s="1"/>
      <c r="V440" s="1"/>
      <c r="W440" s="1"/>
    </row>
    <row r="441">
      <c r="U441" s="1"/>
      <c r="V441" s="1"/>
      <c r="W441" s="1"/>
    </row>
    <row r="442">
      <c r="U442" s="1"/>
      <c r="V442" s="1"/>
      <c r="W442" s="1"/>
    </row>
    <row r="443">
      <c r="U443" s="1"/>
      <c r="V443" s="1"/>
      <c r="W443" s="1"/>
    </row>
    <row r="444">
      <c r="U444" s="1"/>
      <c r="V444" s="1"/>
      <c r="W444" s="1"/>
    </row>
    <row r="445">
      <c r="U445" s="1"/>
      <c r="V445" s="1"/>
      <c r="W445" s="1"/>
    </row>
    <row r="446">
      <c r="U446" s="1"/>
      <c r="V446" s="1"/>
      <c r="W446" s="1"/>
    </row>
    <row r="447">
      <c r="U447" s="1"/>
      <c r="V447" s="1"/>
      <c r="W447" s="1"/>
    </row>
    <row r="448">
      <c r="U448" s="1"/>
      <c r="V448" s="1"/>
      <c r="W448" s="1"/>
    </row>
    <row r="449">
      <c r="U449" s="1"/>
      <c r="V449" s="1"/>
      <c r="W449" s="1"/>
    </row>
    <row r="450">
      <c r="U450" s="1"/>
      <c r="V450" s="1"/>
      <c r="W450" s="1"/>
    </row>
    <row r="451">
      <c r="U451" s="1"/>
      <c r="V451" s="1"/>
      <c r="W451" s="1"/>
    </row>
    <row r="452">
      <c r="U452" s="1"/>
      <c r="V452" s="1"/>
      <c r="W452" s="1"/>
    </row>
    <row r="453">
      <c r="U453" s="1"/>
      <c r="V453" s="1"/>
      <c r="W453" s="1"/>
    </row>
    <row r="454">
      <c r="U454" s="1"/>
      <c r="V454" s="1"/>
      <c r="W454" s="1"/>
    </row>
    <row r="455">
      <c r="U455" s="1"/>
      <c r="V455" s="1"/>
      <c r="W455" s="1"/>
    </row>
    <row r="456">
      <c r="U456" s="1"/>
      <c r="V456" s="1"/>
      <c r="W456" s="1"/>
    </row>
    <row r="457">
      <c r="U457" s="1"/>
      <c r="V457" s="1"/>
      <c r="W457" s="1"/>
    </row>
    <row r="458">
      <c r="U458" s="1"/>
      <c r="V458" s="1"/>
      <c r="W458" s="1"/>
    </row>
    <row r="459">
      <c r="U459" s="1"/>
      <c r="V459" s="1"/>
      <c r="W459" s="1"/>
    </row>
    <row r="460">
      <c r="U460" s="1"/>
      <c r="V460" s="1"/>
      <c r="W460" s="1"/>
    </row>
    <row r="461">
      <c r="U461" s="1"/>
      <c r="V461" s="1"/>
      <c r="W461" s="1"/>
    </row>
    <row r="462">
      <c r="U462" s="1"/>
      <c r="V462" s="1"/>
      <c r="W462" s="1"/>
    </row>
    <row r="463">
      <c r="U463" s="1"/>
      <c r="V463" s="1"/>
      <c r="W463" s="1"/>
    </row>
    <row r="464">
      <c r="U464" s="1"/>
      <c r="V464" s="1"/>
      <c r="W464" s="1"/>
    </row>
    <row r="465">
      <c r="U465" s="1"/>
      <c r="V465" s="1"/>
      <c r="W465" s="1"/>
    </row>
    <row r="466">
      <c r="U466" s="1"/>
      <c r="V466" s="1"/>
      <c r="W466" s="1"/>
    </row>
    <row r="467">
      <c r="U467" s="1"/>
      <c r="V467" s="1"/>
      <c r="W467" s="1"/>
    </row>
    <row r="468">
      <c r="U468" s="1"/>
      <c r="V468" s="1"/>
      <c r="W468" s="1"/>
    </row>
    <row r="469">
      <c r="U469" s="1"/>
      <c r="V469" s="1"/>
      <c r="W469" s="1"/>
    </row>
    <row r="470">
      <c r="U470" s="1"/>
      <c r="V470" s="1"/>
      <c r="W470" s="1"/>
    </row>
    <row r="471">
      <c r="U471" s="1"/>
      <c r="V471" s="1"/>
      <c r="W471" s="1"/>
    </row>
    <row r="472">
      <c r="U472" s="1"/>
      <c r="V472" s="1"/>
      <c r="W472" s="1"/>
    </row>
    <row r="473">
      <c r="U473" s="1"/>
      <c r="V473" s="1"/>
      <c r="W473" s="1"/>
    </row>
    <row r="474">
      <c r="U474" s="1"/>
      <c r="V474" s="1"/>
      <c r="W474" s="1"/>
    </row>
    <row r="475">
      <c r="U475" s="1"/>
      <c r="V475" s="1"/>
      <c r="W475" s="1"/>
    </row>
    <row r="476">
      <c r="U476" s="1"/>
      <c r="V476" s="1"/>
      <c r="W476" s="1"/>
    </row>
    <row r="477">
      <c r="U477" s="1"/>
      <c r="V477" s="1"/>
      <c r="W477" s="1"/>
    </row>
    <row r="478">
      <c r="U478" s="1"/>
      <c r="V478" s="1"/>
      <c r="W478" s="1"/>
    </row>
    <row r="479">
      <c r="U479" s="1"/>
      <c r="V479" s="1"/>
      <c r="W479" s="1"/>
    </row>
    <row r="480">
      <c r="U480" s="1"/>
      <c r="V480" s="1"/>
      <c r="W480" s="1"/>
    </row>
    <row r="481">
      <c r="U481" s="1"/>
      <c r="V481" s="1"/>
      <c r="W481" s="1"/>
    </row>
    <row r="482">
      <c r="U482" s="1"/>
      <c r="V482" s="1"/>
      <c r="W482" s="1"/>
    </row>
    <row r="483">
      <c r="U483" s="1"/>
      <c r="V483" s="1"/>
      <c r="W483" s="1"/>
    </row>
    <row r="484">
      <c r="U484" s="1"/>
      <c r="V484" s="1"/>
      <c r="W484" s="1"/>
    </row>
    <row r="485">
      <c r="U485" s="1"/>
      <c r="V485" s="1"/>
      <c r="W485" s="1"/>
    </row>
    <row r="486">
      <c r="U486" s="1"/>
      <c r="V486" s="1"/>
      <c r="W486" s="1"/>
    </row>
    <row r="487">
      <c r="U487" s="1"/>
      <c r="V487" s="1"/>
      <c r="W487" s="1"/>
    </row>
    <row r="488">
      <c r="U488" s="1"/>
      <c r="V488" s="1"/>
      <c r="W488" s="1"/>
    </row>
    <row r="489">
      <c r="U489" s="1"/>
      <c r="V489" s="1"/>
      <c r="W489" s="1"/>
    </row>
    <row r="490">
      <c r="U490" s="1"/>
      <c r="V490" s="1"/>
      <c r="W490" s="1"/>
    </row>
    <row r="491">
      <c r="U491" s="1"/>
      <c r="V491" s="1"/>
      <c r="W491" s="1"/>
    </row>
    <row r="492">
      <c r="U492" s="1"/>
      <c r="V492" s="1"/>
      <c r="W492" s="1"/>
    </row>
    <row r="493">
      <c r="U493" s="1"/>
      <c r="V493" s="1"/>
      <c r="W493" s="1"/>
    </row>
    <row r="494">
      <c r="U494" s="1"/>
      <c r="V494" s="1"/>
      <c r="W494" s="1"/>
    </row>
    <row r="495">
      <c r="U495" s="1"/>
      <c r="V495" s="1"/>
      <c r="W495" s="1"/>
    </row>
    <row r="496">
      <c r="U496" s="1"/>
      <c r="V496" s="1"/>
      <c r="W496" s="1"/>
    </row>
    <row r="497">
      <c r="U497" s="1"/>
      <c r="V497" s="1"/>
      <c r="W497" s="1"/>
    </row>
    <row r="498">
      <c r="U498" s="1"/>
      <c r="V498" s="1"/>
      <c r="W498" s="1"/>
    </row>
    <row r="499">
      <c r="U499" s="1"/>
      <c r="V499" s="1"/>
      <c r="W499" s="1"/>
    </row>
    <row r="500">
      <c r="U500" s="1"/>
      <c r="V500" s="1"/>
      <c r="W500" s="1"/>
    </row>
    <row r="501">
      <c r="U501" s="1"/>
      <c r="V501" s="1"/>
      <c r="W501" s="1"/>
    </row>
    <row r="502">
      <c r="U502" s="1"/>
      <c r="V502" s="1"/>
      <c r="W502" s="1"/>
    </row>
    <row r="503">
      <c r="U503" s="1"/>
      <c r="V503" s="1"/>
      <c r="W503" s="1"/>
    </row>
    <row r="504">
      <c r="U504" s="1"/>
      <c r="V504" s="1"/>
      <c r="W504" s="1"/>
    </row>
    <row r="505">
      <c r="U505" s="1"/>
      <c r="V505" s="1"/>
      <c r="W505" s="1"/>
    </row>
    <row r="506">
      <c r="U506" s="1"/>
      <c r="V506" s="1"/>
      <c r="W506" s="1"/>
    </row>
    <row r="507">
      <c r="U507" s="1"/>
      <c r="V507" s="1"/>
      <c r="W507" s="1"/>
    </row>
    <row r="508">
      <c r="U508" s="1"/>
      <c r="V508" s="1"/>
      <c r="W508" s="1"/>
    </row>
    <row r="509">
      <c r="U509" s="1"/>
      <c r="V509" s="1"/>
      <c r="W509" s="1"/>
    </row>
    <row r="510">
      <c r="U510" s="1"/>
      <c r="V510" s="1"/>
      <c r="W510" s="1"/>
    </row>
    <row r="511">
      <c r="U511" s="1"/>
      <c r="V511" s="1"/>
      <c r="W511" s="1"/>
    </row>
    <row r="512">
      <c r="U512" s="1"/>
      <c r="V512" s="1"/>
      <c r="W512" s="1"/>
    </row>
    <row r="513">
      <c r="U513" s="1"/>
      <c r="V513" s="1"/>
      <c r="W513" s="1"/>
    </row>
    <row r="514">
      <c r="U514" s="1"/>
      <c r="V514" s="1"/>
      <c r="W514" s="1"/>
    </row>
    <row r="515">
      <c r="U515" s="1"/>
      <c r="V515" s="1"/>
      <c r="W515" s="1"/>
    </row>
    <row r="516">
      <c r="U516" s="1"/>
      <c r="V516" s="1"/>
      <c r="W516" s="1"/>
    </row>
    <row r="517">
      <c r="U517" s="1"/>
      <c r="V517" s="1"/>
      <c r="W517" s="1"/>
    </row>
    <row r="518">
      <c r="U518" s="1"/>
      <c r="V518" s="1"/>
      <c r="W518" s="1"/>
    </row>
    <row r="519">
      <c r="U519" s="1"/>
      <c r="V519" s="1"/>
      <c r="W519" s="1"/>
    </row>
    <row r="520">
      <c r="U520" s="1"/>
      <c r="V520" s="1"/>
      <c r="W520" s="1"/>
    </row>
    <row r="521">
      <c r="U521" s="1"/>
      <c r="V521" s="1"/>
      <c r="W521" s="1"/>
    </row>
    <row r="522">
      <c r="U522" s="1"/>
      <c r="V522" s="1"/>
      <c r="W522" s="1"/>
    </row>
    <row r="523">
      <c r="U523" s="1"/>
      <c r="V523" s="1"/>
      <c r="W523" s="1"/>
    </row>
    <row r="524">
      <c r="U524" s="1"/>
      <c r="V524" s="1"/>
      <c r="W524" s="1"/>
    </row>
    <row r="525">
      <c r="U525" s="1"/>
      <c r="V525" s="1"/>
      <c r="W525" s="1"/>
    </row>
    <row r="526">
      <c r="U526" s="1"/>
      <c r="V526" s="1"/>
      <c r="W526" s="1"/>
    </row>
    <row r="527">
      <c r="U527" s="1"/>
      <c r="V527" s="1"/>
      <c r="W527" s="1"/>
    </row>
    <row r="528">
      <c r="U528" s="1"/>
      <c r="V528" s="1"/>
      <c r="W528" s="1"/>
    </row>
    <row r="529">
      <c r="U529" s="1"/>
      <c r="V529" s="1"/>
      <c r="W529" s="1"/>
    </row>
    <row r="530">
      <c r="U530" s="1"/>
      <c r="V530" s="1"/>
      <c r="W530" s="1"/>
    </row>
    <row r="531">
      <c r="U531" s="1"/>
      <c r="V531" s="1"/>
      <c r="W531" s="1"/>
    </row>
    <row r="532">
      <c r="U532" s="1"/>
      <c r="V532" s="1"/>
      <c r="W532" s="1"/>
    </row>
    <row r="533">
      <c r="U533" s="1"/>
      <c r="V533" s="1"/>
      <c r="W533" s="1"/>
    </row>
    <row r="534">
      <c r="U534" s="1"/>
      <c r="V534" s="1"/>
      <c r="W534" s="1"/>
    </row>
    <row r="535">
      <c r="U535" s="1"/>
      <c r="V535" s="1"/>
      <c r="W535" s="1"/>
    </row>
    <row r="536">
      <c r="U536" s="1"/>
      <c r="V536" s="1"/>
      <c r="W536" s="1"/>
    </row>
    <row r="537">
      <c r="U537" s="1"/>
      <c r="V537" s="1"/>
      <c r="W537" s="1"/>
    </row>
    <row r="538">
      <c r="U538" s="1"/>
      <c r="V538" s="1"/>
      <c r="W538" s="1"/>
    </row>
    <row r="539">
      <c r="U539" s="1"/>
      <c r="V539" s="1"/>
      <c r="W539" s="1"/>
    </row>
    <row r="540">
      <c r="U540" s="1"/>
      <c r="V540" s="1"/>
      <c r="W540" s="1"/>
    </row>
    <row r="541">
      <c r="U541" s="1"/>
      <c r="V541" s="1"/>
      <c r="W541" s="1"/>
    </row>
    <row r="542">
      <c r="U542" s="1"/>
      <c r="V542" s="1"/>
      <c r="W542" s="1"/>
    </row>
    <row r="543">
      <c r="U543" s="1"/>
      <c r="V543" s="1"/>
      <c r="W543" s="1"/>
    </row>
    <row r="544">
      <c r="U544" s="1"/>
      <c r="V544" s="1"/>
      <c r="W544" s="1"/>
    </row>
    <row r="545">
      <c r="U545" s="1"/>
      <c r="V545" s="1"/>
      <c r="W545" s="1"/>
    </row>
    <row r="546">
      <c r="U546" s="1"/>
      <c r="V546" s="1"/>
      <c r="W546" s="1"/>
    </row>
    <row r="547">
      <c r="U547" s="1"/>
      <c r="V547" s="1"/>
      <c r="W547" s="1"/>
    </row>
    <row r="548">
      <c r="U548" s="1"/>
      <c r="V548" s="1"/>
      <c r="W548" s="1"/>
    </row>
    <row r="549">
      <c r="U549" s="1"/>
      <c r="V549" s="1"/>
      <c r="W549" s="1"/>
    </row>
    <row r="550">
      <c r="U550" s="1"/>
      <c r="V550" s="1"/>
      <c r="W550" s="1"/>
    </row>
    <row r="551">
      <c r="U551" s="1"/>
      <c r="V551" s="1"/>
      <c r="W551" s="1"/>
    </row>
    <row r="552">
      <c r="U552" s="1"/>
      <c r="V552" s="1"/>
      <c r="W552" s="1"/>
    </row>
    <row r="553">
      <c r="U553" s="1"/>
      <c r="V553" s="1"/>
      <c r="W553" s="1"/>
    </row>
    <row r="554">
      <c r="U554" s="1"/>
      <c r="V554" s="1"/>
      <c r="W554" s="1"/>
    </row>
    <row r="555">
      <c r="U555" s="1"/>
      <c r="V555" s="1"/>
      <c r="W555" s="1"/>
    </row>
    <row r="556">
      <c r="U556" s="1"/>
      <c r="V556" s="1"/>
      <c r="W556" s="1"/>
    </row>
    <row r="557">
      <c r="U557" s="1"/>
      <c r="V557" s="1"/>
      <c r="W557" s="1"/>
    </row>
    <row r="558">
      <c r="U558" s="1"/>
      <c r="V558" s="1"/>
      <c r="W558" s="1"/>
    </row>
    <row r="559">
      <c r="U559" s="1"/>
      <c r="V559" s="1"/>
      <c r="W559" s="1"/>
    </row>
    <row r="560">
      <c r="U560" s="1"/>
      <c r="V560" s="1"/>
      <c r="W560" s="1"/>
    </row>
    <row r="561">
      <c r="U561" s="1"/>
      <c r="V561" s="1"/>
      <c r="W561" s="1"/>
    </row>
    <row r="562">
      <c r="U562" s="1"/>
      <c r="V562" s="1"/>
      <c r="W562" s="1"/>
    </row>
    <row r="563">
      <c r="U563" s="1"/>
      <c r="V563" s="1"/>
      <c r="W563" s="1"/>
    </row>
    <row r="564">
      <c r="U564" s="1"/>
      <c r="V564" s="1"/>
      <c r="W564" s="1"/>
    </row>
    <row r="565">
      <c r="U565" s="1"/>
      <c r="V565" s="1"/>
      <c r="W565" s="1"/>
    </row>
    <row r="566">
      <c r="U566" s="1"/>
      <c r="V566" s="1"/>
      <c r="W566" s="1"/>
    </row>
    <row r="567">
      <c r="U567" s="1"/>
      <c r="V567" s="1"/>
      <c r="W567" s="1"/>
    </row>
    <row r="568">
      <c r="U568" s="1"/>
      <c r="V568" s="1"/>
      <c r="W568" s="1"/>
    </row>
    <row r="569">
      <c r="U569" s="1"/>
      <c r="V569" s="1"/>
      <c r="W569" s="1"/>
    </row>
    <row r="570">
      <c r="U570" s="1"/>
      <c r="V570" s="1"/>
      <c r="W570" s="1"/>
    </row>
    <row r="571">
      <c r="U571" s="1"/>
      <c r="V571" s="1"/>
      <c r="W571" s="1"/>
    </row>
    <row r="572">
      <c r="U572" s="1"/>
      <c r="V572" s="1"/>
      <c r="W572" s="1"/>
    </row>
    <row r="573">
      <c r="U573" s="1"/>
      <c r="V573" s="1"/>
      <c r="W573" s="1"/>
    </row>
    <row r="574">
      <c r="U574" s="1"/>
      <c r="V574" s="1"/>
      <c r="W574" s="1"/>
    </row>
    <row r="575">
      <c r="U575" s="1"/>
      <c r="V575" s="1"/>
      <c r="W575" s="1"/>
    </row>
    <row r="576">
      <c r="U576" s="1"/>
      <c r="V576" s="1"/>
      <c r="W576" s="1"/>
    </row>
    <row r="577">
      <c r="U577" s="1"/>
      <c r="V577" s="1"/>
      <c r="W577" s="1"/>
    </row>
    <row r="578">
      <c r="U578" s="1"/>
      <c r="V578" s="1"/>
      <c r="W578" s="1"/>
    </row>
    <row r="579">
      <c r="U579" s="1"/>
      <c r="V579" s="1"/>
      <c r="W579" s="1"/>
    </row>
    <row r="580">
      <c r="U580" s="1"/>
      <c r="V580" s="1"/>
      <c r="W580" s="1"/>
    </row>
    <row r="581">
      <c r="U581" s="1"/>
      <c r="V581" s="1"/>
      <c r="W581" s="1"/>
    </row>
    <row r="582">
      <c r="U582" s="1"/>
      <c r="V582" s="1"/>
      <c r="W582" s="1"/>
    </row>
    <row r="583">
      <c r="U583" s="1"/>
      <c r="V583" s="1"/>
      <c r="W583" s="1"/>
    </row>
    <row r="584">
      <c r="U584" s="1"/>
      <c r="V584" s="1"/>
      <c r="W584" s="1"/>
    </row>
    <row r="585">
      <c r="U585" s="1"/>
      <c r="V585" s="1"/>
      <c r="W585" s="1"/>
    </row>
    <row r="586">
      <c r="U586" s="1"/>
      <c r="V586" s="1"/>
      <c r="W586" s="1"/>
    </row>
    <row r="587">
      <c r="U587" s="1"/>
      <c r="V587" s="1"/>
      <c r="W587" s="1"/>
    </row>
    <row r="588">
      <c r="U588" s="1"/>
      <c r="V588" s="1"/>
      <c r="W588" s="1"/>
    </row>
    <row r="589">
      <c r="U589" s="1"/>
      <c r="V589" s="1"/>
      <c r="W589" s="1"/>
    </row>
    <row r="590">
      <c r="U590" s="1"/>
      <c r="V590" s="1"/>
      <c r="W590" s="1"/>
    </row>
    <row r="591">
      <c r="U591" s="1"/>
      <c r="V591" s="1"/>
      <c r="W591" s="1"/>
    </row>
    <row r="592">
      <c r="U592" s="1"/>
      <c r="V592" s="1"/>
      <c r="W592" s="1"/>
    </row>
    <row r="593">
      <c r="U593" s="1"/>
      <c r="V593" s="1"/>
      <c r="W593" s="1"/>
    </row>
    <row r="594">
      <c r="U594" s="1"/>
      <c r="V594" s="1"/>
      <c r="W594" s="1"/>
    </row>
    <row r="595">
      <c r="U595" s="1"/>
      <c r="V595" s="1"/>
      <c r="W595" s="1"/>
    </row>
    <row r="596">
      <c r="U596" s="1"/>
      <c r="V596" s="1"/>
      <c r="W596" s="1"/>
    </row>
    <row r="597">
      <c r="U597" s="1"/>
      <c r="V597" s="1"/>
      <c r="W597" s="1"/>
    </row>
    <row r="598">
      <c r="U598" s="1"/>
      <c r="V598" s="1"/>
      <c r="W598" s="1"/>
    </row>
    <row r="599">
      <c r="U599" s="1"/>
      <c r="V599" s="1"/>
      <c r="W599" s="1"/>
    </row>
    <row r="600">
      <c r="U600" s="1"/>
      <c r="V600" s="1"/>
      <c r="W600" s="1"/>
    </row>
    <row r="601">
      <c r="U601" s="1"/>
      <c r="V601" s="1"/>
      <c r="W601" s="1"/>
    </row>
    <row r="602">
      <c r="U602" s="1"/>
      <c r="V602" s="1"/>
      <c r="W602" s="1"/>
    </row>
    <row r="603">
      <c r="U603" s="1"/>
      <c r="V603" s="1"/>
      <c r="W603" s="1"/>
    </row>
    <row r="604">
      <c r="U604" s="1"/>
      <c r="V604" s="1"/>
      <c r="W604" s="1"/>
    </row>
    <row r="605">
      <c r="U605" s="1"/>
      <c r="V605" s="1"/>
      <c r="W605" s="1"/>
    </row>
    <row r="606">
      <c r="U606" s="1"/>
      <c r="V606" s="1"/>
      <c r="W606" s="1"/>
    </row>
    <row r="607">
      <c r="U607" s="1"/>
      <c r="V607" s="1"/>
      <c r="W607" s="1"/>
    </row>
    <row r="608">
      <c r="U608" s="1"/>
      <c r="V608" s="1"/>
      <c r="W608" s="1"/>
    </row>
    <row r="609">
      <c r="U609" s="1"/>
      <c r="V609" s="1"/>
      <c r="W609" s="1"/>
    </row>
    <row r="610">
      <c r="U610" s="1"/>
      <c r="V610" s="1"/>
      <c r="W610" s="1"/>
    </row>
    <row r="611">
      <c r="U611" s="1"/>
      <c r="V611" s="1"/>
      <c r="W611" s="1"/>
    </row>
    <row r="612">
      <c r="U612" s="1"/>
      <c r="V612" s="1"/>
      <c r="W612" s="1"/>
    </row>
    <row r="613">
      <c r="U613" s="1"/>
      <c r="V613" s="1"/>
      <c r="W613" s="1"/>
    </row>
    <row r="614">
      <c r="U614" s="1"/>
      <c r="V614" s="1"/>
      <c r="W614" s="1"/>
    </row>
    <row r="615">
      <c r="U615" s="1"/>
      <c r="V615" s="1"/>
      <c r="W615" s="1"/>
    </row>
    <row r="616">
      <c r="U616" s="1"/>
      <c r="V616" s="1"/>
      <c r="W616" s="1"/>
    </row>
    <row r="617">
      <c r="U617" s="1"/>
      <c r="V617" s="1"/>
      <c r="W617" s="1"/>
    </row>
    <row r="618">
      <c r="U618" s="1"/>
      <c r="V618" s="1"/>
      <c r="W618" s="1"/>
    </row>
    <row r="619">
      <c r="U619" s="1"/>
      <c r="V619" s="1"/>
      <c r="W619" s="1"/>
    </row>
    <row r="620">
      <c r="U620" s="1"/>
      <c r="V620" s="1"/>
      <c r="W620" s="1"/>
    </row>
    <row r="621">
      <c r="U621" s="1"/>
      <c r="V621" s="1"/>
      <c r="W621" s="1"/>
    </row>
    <row r="622">
      <c r="U622" s="1"/>
      <c r="V622" s="1"/>
      <c r="W622" s="1"/>
    </row>
    <row r="623">
      <c r="U623" s="1"/>
      <c r="V623" s="1"/>
      <c r="W623" s="1"/>
    </row>
    <row r="624">
      <c r="U624" s="1"/>
      <c r="V624" s="1"/>
      <c r="W624" s="1"/>
    </row>
    <row r="625">
      <c r="U625" s="1"/>
      <c r="V625" s="1"/>
      <c r="W625" s="1"/>
    </row>
    <row r="626">
      <c r="U626" s="1"/>
      <c r="V626" s="1"/>
      <c r="W626" s="1"/>
    </row>
    <row r="627">
      <c r="U627" s="1"/>
      <c r="V627" s="1"/>
      <c r="W627" s="1"/>
    </row>
    <row r="628">
      <c r="U628" s="1"/>
      <c r="V628" s="1"/>
      <c r="W628" s="1"/>
    </row>
    <row r="629">
      <c r="U629" s="1"/>
      <c r="V629" s="1"/>
      <c r="W629" s="1"/>
    </row>
    <row r="630">
      <c r="U630" s="1"/>
      <c r="V630" s="1"/>
      <c r="W630" s="1"/>
    </row>
    <row r="631">
      <c r="U631" s="1"/>
      <c r="V631" s="1"/>
      <c r="W631" s="1"/>
    </row>
    <row r="632">
      <c r="U632" s="1"/>
      <c r="V632" s="1"/>
      <c r="W632" s="1"/>
    </row>
    <row r="633">
      <c r="U633" s="1"/>
      <c r="V633" s="1"/>
      <c r="W633" s="1"/>
    </row>
    <row r="634">
      <c r="U634" s="1"/>
      <c r="V634" s="1"/>
      <c r="W634" s="1"/>
    </row>
    <row r="635">
      <c r="U635" s="1"/>
      <c r="V635" s="1"/>
      <c r="W635" s="1"/>
    </row>
    <row r="636">
      <c r="U636" s="1"/>
      <c r="V636" s="1"/>
      <c r="W636" s="1"/>
    </row>
    <row r="637">
      <c r="U637" s="1"/>
      <c r="V637" s="1"/>
      <c r="W637" s="1"/>
    </row>
    <row r="638">
      <c r="U638" s="1"/>
      <c r="V638" s="1"/>
      <c r="W638" s="1"/>
    </row>
    <row r="639">
      <c r="U639" s="1"/>
      <c r="V639" s="1"/>
      <c r="W639" s="1"/>
    </row>
    <row r="640">
      <c r="U640" s="1"/>
      <c r="V640" s="1"/>
      <c r="W640" s="1"/>
    </row>
    <row r="641">
      <c r="U641" s="1"/>
      <c r="V641" s="1"/>
      <c r="W641" s="1"/>
    </row>
    <row r="642">
      <c r="U642" s="1"/>
      <c r="V642" s="1"/>
      <c r="W642" s="1"/>
    </row>
    <row r="643">
      <c r="U643" s="1"/>
      <c r="V643" s="1"/>
      <c r="W643" s="1"/>
    </row>
    <row r="644">
      <c r="U644" s="1"/>
      <c r="V644" s="1"/>
      <c r="W644" s="1"/>
    </row>
    <row r="645">
      <c r="U645" s="1"/>
      <c r="V645" s="1"/>
      <c r="W645" s="1"/>
    </row>
    <row r="646">
      <c r="U646" s="1"/>
      <c r="V646" s="1"/>
      <c r="W646" s="1"/>
    </row>
    <row r="647">
      <c r="U647" s="1"/>
      <c r="V647" s="1"/>
      <c r="W647" s="1"/>
    </row>
    <row r="648">
      <c r="U648" s="1"/>
      <c r="V648" s="1"/>
      <c r="W648" s="1"/>
    </row>
    <row r="649">
      <c r="U649" s="1"/>
      <c r="V649" s="1"/>
      <c r="W649" s="1"/>
    </row>
    <row r="650">
      <c r="U650" s="1"/>
      <c r="V650" s="1"/>
      <c r="W650" s="1"/>
    </row>
    <row r="651">
      <c r="U651" s="1"/>
      <c r="V651" s="1"/>
      <c r="W651" s="1"/>
    </row>
    <row r="652">
      <c r="U652" s="1"/>
      <c r="V652" s="1"/>
      <c r="W652" s="1"/>
    </row>
    <row r="653">
      <c r="U653" s="1"/>
      <c r="V653" s="1"/>
      <c r="W653" s="1"/>
    </row>
    <row r="654">
      <c r="U654" s="1"/>
      <c r="V654" s="1"/>
      <c r="W654" s="1"/>
    </row>
    <row r="655">
      <c r="U655" s="1"/>
      <c r="V655" s="1"/>
      <c r="W655" s="1"/>
    </row>
    <row r="656">
      <c r="U656" s="1"/>
      <c r="V656" s="1"/>
      <c r="W656" s="1"/>
    </row>
    <row r="657">
      <c r="U657" s="1"/>
      <c r="V657" s="1"/>
      <c r="W657" s="1"/>
    </row>
    <row r="658">
      <c r="U658" s="1"/>
      <c r="V658" s="1"/>
      <c r="W658" s="1"/>
    </row>
    <row r="659">
      <c r="U659" s="1"/>
      <c r="V659" s="1"/>
      <c r="W659" s="1"/>
    </row>
    <row r="660">
      <c r="U660" s="1"/>
      <c r="V660" s="1"/>
      <c r="W660" s="1"/>
    </row>
    <row r="661">
      <c r="U661" s="1"/>
      <c r="V661" s="1"/>
      <c r="W661" s="1"/>
    </row>
    <row r="662">
      <c r="U662" s="1"/>
      <c r="V662" s="1"/>
      <c r="W662" s="1"/>
    </row>
    <row r="663">
      <c r="U663" s="1"/>
      <c r="V663" s="1"/>
      <c r="W663" s="1"/>
    </row>
    <row r="664">
      <c r="U664" s="1"/>
      <c r="V664" s="1"/>
      <c r="W664" s="1"/>
    </row>
    <row r="665">
      <c r="U665" s="1"/>
      <c r="V665" s="1"/>
      <c r="W665" s="1"/>
    </row>
    <row r="666">
      <c r="U666" s="1"/>
      <c r="V666" s="1"/>
      <c r="W666" s="1"/>
    </row>
    <row r="667">
      <c r="U667" s="1"/>
      <c r="V667" s="1"/>
      <c r="W667" s="1"/>
    </row>
    <row r="668">
      <c r="U668" s="1"/>
      <c r="V668" s="1"/>
      <c r="W668" s="1"/>
    </row>
    <row r="669">
      <c r="U669" s="1"/>
      <c r="V669" s="1"/>
      <c r="W669" s="1"/>
    </row>
    <row r="670">
      <c r="U670" s="1"/>
      <c r="V670" s="1"/>
      <c r="W670" s="1"/>
    </row>
    <row r="671">
      <c r="U671" s="1"/>
      <c r="V671" s="1"/>
      <c r="W671" s="1"/>
    </row>
    <row r="672">
      <c r="U672" s="1"/>
      <c r="V672" s="1"/>
      <c r="W672" s="1"/>
    </row>
    <row r="673">
      <c r="U673" s="1"/>
      <c r="V673" s="1"/>
      <c r="W673" s="1"/>
    </row>
    <row r="674">
      <c r="U674" s="1"/>
      <c r="V674" s="1"/>
      <c r="W674" s="1"/>
    </row>
    <row r="675">
      <c r="U675" s="1"/>
      <c r="V675" s="1"/>
      <c r="W675" s="1"/>
    </row>
    <row r="676">
      <c r="U676" s="1"/>
      <c r="V676" s="1"/>
      <c r="W676" s="1"/>
    </row>
    <row r="677">
      <c r="U677" s="1"/>
      <c r="V677" s="1"/>
      <c r="W677" s="1"/>
    </row>
    <row r="678">
      <c r="U678" s="1"/>
      <c r="V678" s="1"/>
      <c r="W678" s="1"/>
    </row>
    <row r="679">
      <c r="U679" s="1"/>
      <c r="V679" s="1"/>
      <c r="W679" s="1"/>
    </row>
    <row r="680">
      <c r="U680" s="1"/>
      <c r="V680" s="1"/>
      <c r="W680" s="1"/>
    </row>
    <row r="681">
      <c r="U681" s="1"/>
      <c r="V681" s="1"/>
      <c r="W681" s="1"/>
    </row>
    <row r="682">
      <c r="U682" s="1"/>
      <c r="V682" s="1"/>
      <c r="W682" s="1"/>
    </row>
    <row r="683">
      <c r="U683" s="1"/>
      <c r="V683" s="1"/>
      <c r="W683" s="1"/>
    </row>
    <row r="684">
      <c r="U684" s="1"/>
      <c r="V684" s="1"/>
      <c r="W684" s="1"/>
    </row>
    <row r="685">
      <c r="U685" s="1"/>
      <c r="V685" s="1"/>
      <c r="W685" s="1"/>
    </row>
    <row r="686">
      <c r="U686" s="1"/>
      <c r="V686" s="1"/>
      <c r="W686" s="1"/>
    </row>
    <row r="687">
      <c r="U687" s="1"/>
      <c r="V687" s="1"/>
      <c r="W687" s="1"/>
    </row>
    <row r="688">
      <c r="U688" s="1"/>
      <c r="V688" s="1"/>
      <c r="W688" s="1"/>
    </row>
    <row r="689">
      <c r="U689" s="1"/>
      <c r="V689" s="1"/>
      <c r="W689" s="1"/>
    </row>
    <row r="690">
      <c r="U690" s="1"/>
      <c r="V690" s="1"/>
      <c r="W690" s="1"/>
    </row>
    <row r="691">
      <c r="U691" s="1"/>
      <c r="V691" s="1"/>
      <c r="W691" s="1"/>
    </row>
    <row r="692">
      <c r="U692" s="1"/>
      <c r="V692" s="1"/>
      <c r="W692" s="1"/>
    </row>
    <row r="693">
      <c r="U693" s="1"/>
      <c r="V693" s="1"/>
      <c r="W693" s="1"/>
    </row>
    <row r="694">
      <c r="U694" s="1"/>
      <c r="V694" s="1"/>
      <c r="W694" s="1"/>
    </row>
    <row r="695">
      <c r="U695" s="1"/>
      <c r="V695" s="1"/>
      <c r="W695" s="1"/>
    </row>
    <row r="696">
      <c r="U696" s="1"/>
      <c r="V696" s="1"/>
      <c r="W696" s="1"/>
    </row>
    <row r="697">
      <c r="U697" s="1"/>
      <c r="V697" s="1"/>
      <c r="W697" s="1"/>
    </row>
    <row r="698">
      <c r="U698" s="1"/>
      <c r="V698" s="1"/>
      <c r="W698" s="1"/>
    </row>
    <row r="699">
      <c r="U699" s="1"/>
      <c r="V699" s="1"/>
      <c r="W699" s="1"/>
    </row>
    <row r="700">
      <c r="U700" s="1"/>
      <c r="V700" s="1"/>
      <c r="W700" s="1"/>
    </row>
    <row r="701">
      <c r="U701" s="1"/>
      <c r="V701" s="1"/>
      <c r="W701" s="1"/>
    </row>
    <row r="702">
      <c r="U702" s="1"/>
      <c r="V702" s="1"/>
      <c r="W702" s="1"/>
    </row>
    <row r="703">
      <c r="U703" s="1"/>
      <c r="V703" s="1"/>
      <c r="W703" s="1"/>
    </row>
    <row r="704">
      <c r="U704" s="1"/>
      <c r="V704" s="1"/>
      <c r="W704" s="1"/>
    </row>
    <row r="705">
      <c r="U705" s="1"/>
      <c r="V705" s="1"/>
      <c r="W705" s="1"/>
    </row>
    <row r="706">
      <c r="U706" s="1"/>
      <c r="V706" s="1"/>
      <c r="W706" s="1"/>
    </row>
    <row r="707">
      <c r="U707" s="1"/>
      <c r="V707" s="1"/>
      <c r="W707" s="1"/>
    </row>
    <row r="708">
      <c r="U708" s="1"/>
      <c r="V708" s="1"/>
      <c r="W708" s="1"/>
    </row>
    <row r="709">
      <c r="U709" s="1"/>
      <c r="V709" s="1"/>
      <c r="W709" s="1"/>
    </row>
    <row r="710">
      <c r="U710" s="1"/>
      <c r="V710" s="1"/>
      <c r="W710" s="1"/>
    </row>
    <row r="711">
      <c r="U711" s="1"/>
      <c r="V711" s="1"/>
      <c r="W711" s="1"/>
    </row>
    <row r="712">
      <c r="U712" s="1"/>
      <c r="V712" s="1"/>
      <c r="W712" s="1"/>
    </row>
    <row r="713">
      <c r="U713" s="1"/>
      <c r="V713" s="1"/>
      <c r="W713" s="1"/>
    </row>
    <row r="714">
      <c r="U714" s="1"/>
      <c r="V714" s="1"/>
      <c r="W714" s="1"/>
    </row>
    <row r="715">
      <c r="U715" s="1"/>
      <c r="V715" s="1"/>
      <c r="W715" s="1"/>
    </row>
    <row r="716">
      <c r="U716" s="1"/>
      <c r="V716" s="1"/>
      <c r="W716" s="1"/>
    </row>
    <row r="717">
      <c r="U717" s="1"/>
      <c r="V717" s="1"/>
      <c r="W717" s="1"/>
    </row>
    <row r="718">
      <c r="U718" s="1"/>
      <c r="V718" s="1"/>
      <c r="W718" s="1"/>
    </row>
    <row r="719">
      <c r="U719" s="1"/>
      <c r="V719" s="1"/>
      <c r="W719" s="1"/>
    </row>
    <row r="720">
      <c r="U720" s="1"/>
      <c r="V720" s="1"/>
      <c r="W720" s="1"/>
    </row>
    <row r="721">
      <c r="U721" s="1"/>
      <c r="V721" s="1"/>
      <c r="W721" s="1"/>
    </row>
    <row r="722">
      <c r="U722" s="1"/>
      <c r="V722" s="1"/>
      <c r="W722" s="1"/>
    </row>
    <row r="723">
      <c r="U723" s="1"/>
      <c r="V723" s="1"/>
      <c r="W723" s="1"/>
    </row>
    <row r="724">
      <c r="U724" s="1"/>
      <c r="V724" s="1"/>
      <c r="W724" s="1"/>
    </row>
    <row r="725">
      <c r="U725" s="1"/>
      <c r="V725" s="1"/>
      <c r="W725" s="1"/>
    </row>
    <row r="726">
      <c r="U726" s="1"/>
      <c r="V726" s="1"/>
      <c r="W726" s="1"/>
    </row>
    <row r="727">
      <c r="U727" s="1"/>
      <c r="V727" s="1"/>
      <c r="W727" s="1"/>
    </row>
    <row r="728">
      <c r="U728" s="1"/>
      <c r="V728" s="1"/>
      <c r="W728" s="1"/>
    </row>
    <row r="729">
      <c r="U729" s="1"/>
      <c r="V729" s="1"/>
      <c r="W729" s="1"/>
    </row>
    <row r="730">
      <c r="U730" s="1"/>
      <c r="V730" s="1"/>
      <c r="W730" s="1"/>
    </row>
    <row r="731">
      <c r="U731" s="1"/>
      <c r="V731" s="1"/>
      <c r="W731" s="1"/>
    </row>
    <row r="732">
      <c r="U732" s="1"/>
      <c r="V732" s="1"/>
      <c r="W732" s="1"/>
    </row>
    <row r="733">
      <c r="U733" s="1"/>
      <c r="V733" s="1"/>
      <c r="W733" s="1"/>
    </row>
    <row r="734">
      <c r="U734" s="1"/>
      <c r="V734" s="1"/>
      <c r="W734" s="1"/>
    </row>
    <row r="735">
      <c r="U735" s="1"/>
      <c r="V735" s="1"/>
      <c r="W735" s="1"/>
    </row>
    <row r="736">
      <c r="U736" s="1"/>
      <c r="V736" s="1"/>
      <c r="W736" s="1"/>
    </row>
    <row r="737">
      <c r="U737" s="1"/>
      <c r="V737" s="1"/>
      <c r="W737" s="1"/>
    </row>
    <row r="738">
      <c r="U738" s="1"/>
      <c r="V738" s="1"/>
      <c r="W738" s="1"/>
    </row>
    <row r="739">
      <c r="U739" s="1"/>
      <c r="V739" s="1"/>
      <c r="W739" s="1"/>
    </row>
    <row r="740">
      <c r="U740" s="1"/>
      <c r="V740" s="1"/>
      <c r="W740" s="1"/>
    </row>
    <row r="741">
      <c r="U741" s="1"/>
      <c r="V741" s="1"/>
      <c r="W741" s="1"/>
    </row>
    <row r="742">
      <c r="U742" s="1"/>
      <c r="V742" s="1"/>
      <c r="W742" s="1"/>
    </row>
    <row r="743">
      <c r="U743" s="1"/>
      <c r="V743" s="1"/>
      <c r="W743" s="1"/>
    </row>
    <row r="744">
      <c r="U744" s="1"/>
      <c r="V744" s="1"/>
      <c r="W744" s="1"/>
    </row>
    <row r="745">
      <c r="U745" s="1"/>
      <c r="V745" s="1"/>
      <c r="W745" s="1"/>
    </row>
    <row r="746">
      <c r="U746" s="1"/>
      <c r="V746" s="1"/>
      <c r="W746" s="1"/>
    </row>
    <row r="747">
      <c r="U747" s="1"/>
      <c r="V747" s="1"/>
      <c r="W747" s="1"/>
    </row>
    <row r="748">
      <c r="U748" s="1"/>
      <c r="V748" s="1"/>
      <c r="W748" s="1"/>
    </row>
    <row r="749">
      <c r="U749" s="1"/>
      <c r="V749" s="1"/>
      <c r="W749" s="1"/>
    </row>
    <row r="750">
      <c r="U750" s="1"/>
      <c r="V750" s="1"/>
      <c r="W750" s="1"/>
    </row>
    <row r="751">
      <c r="U751" s="1"/>
      <c r="V751" s="1"/>
      <c r="W751" s="1"/>
    </row>
    <row r="752">
      <c r="U752" s="1"/>
      <c r="V752" s="1"/>
      <c r="W752" s="1"/>
    </row>
    <row r="753">
      <c r="U753" s="1"/>
      <c r="V753" s="1"/>
      <c r="W753" s="1"/>
    </row>
    <row r="754">
      <c r="U754" s="1"/>
      <c r="V754" s="1"/>
      <c r="W754" s="1"/>
    </row>
    <row r="755">
      <c r="U755" s="1"/>
      <c r="V755" s="1"/>
      <c r="W755" s="1"/>
    </row>
    <row r="756">
      <c r="U756" s="1"/>
      <c r="V756" s="1"/>
      <c r="W756" s="1"/>
    </row>
    <row r="757">
      <c r="U757" s="1"/>
      <c r="V757" s="1"/>
      <c r="W757" s="1"/>
    </row>
    <row r="758">
      <c r="U758" s="1"/>
      <c r="V758" s="1"/>
      <c r="W758" s="1"/>
    </row>
    <row r="759">
      <c r="U759" s="1"/>
      <c r="V759" s="1"/>
      <c r="W759" s="1"/>
    </row>
    <row r="760">
      <c r="U760" s="1"/>
      <c r="V760" s="1"/>
      <c r="W760" s="1"/>
    </row>
    <row r="761">
      <c r="U761" s="1"/>
      <c r="V761" s="1"/>
      <c r="W761" s="1"/>
    </row>
    <row r="762">
      <c r="U762" s="1"/>
      <c r="V762" s="1"/>
      <c r="W762" s="1"/>
    </row>
    <row r="763">
      <c r="U763" s="1"/>
      <c r="V763" s="1"/>
      <c r="W763" s="1"/>
    </row>
    <row r="764">
      <c r="U764" s="1"/>
      <c r="V764" s="1"/>
      <c r="W764" s="1"/>
    </row>
    <row r="765">
      <c r="U765" s="1"/>
      <c r="V765" s="1"/>
      <c r="W765" s="1"/>
    </row>
    <row r="766">
      <c r="U766" s="1"/>
      <c r="V766" s="1"/>
      <c r="W766" s="1"/>
    </row>
    <row r="767">
      <c r="U767" s="1"/>
      <c r="V767" s="1"/>
      <c r="W767" s="1"/>
    </row>
    <row r="768">
      <c r="U768" s="1"/>
      <c r="V768" s="1"/>
      <c r="W768" s="1"/>
    </row>
    <row r="769">
      <c r="U769" s="1"/>
      <c r="V769" s="1"/>
      <c r="W769" s="1"/>
    </row>
    <row r="770">
      <c r="U770" s="1"/>
      <c r="V770" s="1"/>
      <c r="W770" s="1"/>
    </row>
    <row r="771">
      <c r="U771" s="1"/>
      <c r="V771" s="1"/>
      <c r="W771" s="1"/>
    </row>
    <row r="772">
      <c r="U772" s="1"/>
      <c r="V772" s="1"/>
      <c r="W772" s="1"/>
    </row>
    <row r="773">
      <c r="U773" s="1"/>
      <c r="V773" s="1"/>
      <c r="W773" s="1"/>
    </row>
    <row r="774">
      <c r="U774" s="1"/>
      <c r="V774" s="1"/>
      <c r="W774" s="1"/>
    </row>
    <row r="775">
      <c r="U775" s="1"/>
      <c r="V775" s="1"/>
      <c r="W775" s="1"/>
    </row>
    <row r="776">
      <c r="U776" s="1"/>
      <c r="V776" s="1"/>
      <c r="W776" s="1"/>
    </row>
    <row r="777">
      <c r="U777" s="1"/>
      <c r="V777" s="1"/>
      <c r="W777" s="1"/>
    </row>
    <row r="778">
      <c r="U778" s="1"/>
      <c r="V778" s="1"/>
      <c r="W778" s="1"/>
    </row>
    <row r="779">
      <c r="U779" s="1"/>
      <c r="V779" s="1"/>
      <c r="W779" s="1"/>
    </row>
    <row r="780">
      <c r="U780" s="1"/>
      <c r="V780" s="1"/>
      <c r="W780" s="1"/>
    </row>
    <row r="781">
      <c r="U781" s="1"/>
      <c r="V781" s="1"/>
      <c r="W781" s="1"/>
    </row>
    <row r="782">
      <c r="U782" s="1"/>
      <c r="V782" s="1"/>
      <c r="W782" s="1"/>
    </row>
    <row r="783">
      <c r="U783" s="1"/>
      <c r="V783" s="1"/>
      <c r="W783" s="1"/>
    </row>
    <row r="784">
      <c r="U784" s="1"/>
      <c r="V784" s="1"/>
      <c r="W784" s="1"/>
    </row>
    <row r="785">
      <c r="U785" s="1"/>
      <c r="V785" s="1"/>
      <c r="W785" s="1"/>
    </row>
    <row r="786">
      <c r="U786" s="1"/>
      <c r="V786" s="1"/>
      <c r="W786" s="1"/>
    </row>
    <row r="787">
      <c r="U787" s="1"/>
      <c r="V787" s="1"/>
      <c r="W787" s="1"/>
    </row>
    <row r="788">
      <c r="U788" s="1"/>
      <c r="V788" s="1"/>
      <c r="W788" s="1"/>
    </row>
    <row r="789">
      <c r="U789" s="1"/>
      <c r="V789" s="1"/>
      <c r="W789" s="1"/>
    </row>
    <row r="790">
      <c r="U790" s="1"/>
      <c r="V790" s="1"/>
      <c r="W790" s="1"/>
    </row>
    <row r="791">
      <c r="U791" s="1"/>
      <c r="V791" s="1"/>
      <c r="W791" s="1"/>
    </row>
    <row r="792">
      <c r="U792" s="1"/>
      <c r="V792" s="1"/>
      <c r="W792" s="1"/>
    </row>
    <row r="793">
      <c r="U793" s="1"/>
      <c r="V793" s="1"/>
      <c r="W793" s="1"/>
    </row>
    <row r="794">
      <c r="U794" s="1"/>
      <c r="V794" s="1"/>
      <c r="W794" s="1"/>
    </row>
    <row r="795">
      <c r="U795" s="1"/>
      <c r="V795" s="1"/>
      <c r="W795" s="1"/>
    </row>
    <row r="796">
      <c r="U796" s="1"/>
      <c r="V796" s="1"/>
      <c r="W796" s="1"/>
    </row>
    <row r="797">
      <c r="U797" s="1"/>
      <c r="V797" s="1"/>
      <c r="W797" s="1"/>
    </row>
    <row r="798">
      <c r="U798" s="1"/>
      <c r="V798" s="1"/>
      <c r="W798" s="1"/>
    </row>
    <row r="799">
      <c r="U799" s="1"/>
      <c r="V799" s="1"/>
      <c r="W799" s="1"/>
    </row>
    <row r="800">
      <c r="U800" s="1"/>
      <c r="V800" s="1"/>
      <c r="W800" s="1"/>
    </row>
    <row r="801">
      <c r="U801" s="1"/>
      <c r="V801" s="1"/>
      <c r="W801" s="1"/>
    </row>
    <row r="802">
      <c r="U802" s="1"/>
      <c r="V802" s="1"/>
      <c r="W802" s="1"/>
    </row>
    <row r="803">
      <c r="U803" s="1"/>
      <c r="V803" s="1"/>
      <c r="W803" s="1"/>
    </row>
    <row r="804">
      <c r="U804" s="1"/>
      <c r="V804" s="1"/>
      <c r="W804" s="1"/>
    </row>
    <row r="805">
      <c r="U805" s="1"/>
      <c r="V805" s="1"/>
      <c r="W805" s="1"/>
    </row>
    <row r="806">
      <c r="U806" s="1"/>
      <c r="V806" s="1"/>
      <c r="W806" s="1"/>
    </row>
    <row r="807">
      <c r="U807" s="1"/>
      <c r="V807" s="1"/>
      <c r="W807" s="1"/>
    </row>
    <row r="808">
      <c r="U808" s="1"/>
      <c r="V808" s="1"/>
      <c r="W808" s="1"/>
    </row>
    <row r="809">
      <c r="U809" s="1"/>
      <c r="V809" s="1"/>
      <c r="W809" s="1"/>
    </row>
    <row r="810">
      <c r="U810" s="1"/>
      <c r="V810" s="1"/>
      <c r="W810" s="1"/>
    </row>
    <row r="811">
      <c r="U811" s="1"/>
      <c r="V811" s="1"/>
      <c r="W811" s="1"/>
    </row>
    <row r="812">
      <c r="U812" s="1"/>
      <c r="V812" s="1"/>
      <c r="W812" s="1"/>
    </row>
    <row r="813">
      <c r="U813" s="1"/>
      <c r="V813" s="1"/>
      <c r="W813" s="1"/>
    </row>
    <row r="814">
      <c r="U814" s="1"/>
      <c r="V814" s="1"/>
      <c r="W814" s="1"/>
    </row>
    <row r="815">
      <c r="U815" s="1"/>
      <c r="V815" s="1"/>
      <c r="W815" s="1"/>
    </row>
    <row r="816">
      <c r="U816" s="1"/>
      <c r="V816" s="1"/>
      <c r="W816" s="1"/>
    </row>
    <row r="817">
      <c r="U817" s="1"/>
      <c r="V817" s="1"/>
      <c r="W817" s="1"/>
    </row>
    <row r="818">
      <c r="U818" s="1"/>
      <c r="V818" s="1"/>
      <c r="W818" s="1"/>
    </row>
    <row r="819">
      <c r="U819" s="1"/>
      <c r="V819" s="1"/>
      <c r="W819" s="1"/>
    </row>
    <row r="820">
      <c r="U820" s="1"/>
      <c r="V820" s="1"/>
      <c r="W820" s="1"/>
    </row>
    <row r="821">
      <c r="U821" s="1"/>
      <c r="V821" s="1"/>
      <c r="W821" s="1"/>
    </row>
    <row r="822">
      <c r="U822" s="1"/>
      <c r="V822" s="1"/>
      <c r="W822" s="1"/>
    </row>
    <row r="823">
      <c r="U823" s="1"/>
      <c r="V823" s="1"/>
      <c r="W823" s="1"/>
    </row>
    <row r="824">
      <c r="U824" s="1"/>
      <c r="V824" s="1"/>
      <c r="W824" s="1"/>
    </row>
    <row r="825">
      <c r="U825" s="1"/>
      <c r="V825" s="1"/>
      <c r="W825" s="1"/>
    </row>
    <row r="826">
      <c r="U826" s="1"/>
      <c r="V826" s="1"/>
      <c r="W826" s="1"/>
    </row>
    <row r="827">
      <c r="U827" s="1"/>
      <c r="V827" s="1"/>
      <c r="W827" s="1"/>
    </row>
    <row r="828">
      <c r="U828" s="1"/>
      <c r="V828" s="1"/>
      <c r="W828" s="1"/>
    </row>
    <row r="829">
      <c r="U829" s="1"/>
      <c r="V829" s="1"/>
      <c r="W829" s="1"/>
    </row>
    <row r="830">
      <c r="U830" s="1"/>
      <c r="V830" s="1"/>
      <c r="W830" s="1"/>
    </row>
    <row r="831">
      <c r="U831" s="1"/>
      <c r="V831" s="1"/>
      <c r="W831" s="1"/>
    </row>
    <row r="832">
      <c r="U832" s="1"/>
      <c r="V832" s="1"/>
      <c r="W832" s="1"/>
    </row>
    <row r="833">
      <c r="U833" s="1"/>
      <c r="V833" s="1"/>
      <c r="W833" s="1"/>
    </row>
    <row r="834">
      <c r="U834" s="1"/>
      <c r="V834" s="1"/>
      <c r="W834" s="1"/>
    </row>
    <row r="835">
      <c r="U835" s="1"/>
      <c r="V835" s="1"/>
      <c r="W835" s="1"/>
    </row>
    <row r="836">
      <c r="U836" s="1"/>
      <c r="V836" s="1"/>
      <c r="W836" s="1"/>
    </row>
    <row r="837">
      <c r="U837" s="1"/>
      <c r="V837" s="1"/>
      <c r="W837" s="1"/>
    </row>
    <row r="838">
      <c r="U838" s="1"/>
      <c r="V838" s="1"/>
      <c r="W838" s="1"/>
    </row>
    <row r="839">
      <c r="U839" s="1"/>
      <c r="V839" s="1"/>
      <c r="W839" s="1"/>
    </row>
    <row r="840">
      <c r="U840" s="1"/>
      <c r="V840" s="1"/>
      <c r="W840" s="1"/>
    </row>
    <row r="841">
      <c r="U841" s="1"/>
      <c r="V841" s="1"/>
      <c r="W841" s="1"/>
    </row>
    <row r="842">
      <c r="U842" s="1"/>
      <c r="V842" s="1"/>
      <c r="W842" s="1"/>
    </row>
    <row r="843">
      <c r="U843" s="1"/>
      <c r="V843" s="1"/>
      <c r="W843" s="1"/>
    </row>
    <row r="844">
      <c r="U844" s="1"/>
      <c r="V844" s="1"/>
      <c r="W844" s="1"/>
    </row>
    <row r="845">
      <c r="U845" s="1"/>
      <c r="V845" s="1"/>
      <c r="W845" s="1"/>
    </row>
    <row r="846">
      <c r="U846" s="1"/>
      <c r="V846" s="1"/>
      <c r="W846" s="1"/>
    </row>
    <row r="847">
      <c r="U847" s="1"/>
      <c r="V847" s="1"/>
      <c r="W847" s="1"/>
    </row>
    <row r="848">
      <c r="U848" s="1"/>
      <c r="V848" s="1"/>
      <c r="W848" s="1"/>
    </row>
    <row r="849">
      <c r="U849" s="1"/>
      <c r="V849" s="1"/>
      <c r="W849" s="1"/>
    </row>
    <row r="850">
      <c r="U850" s="1"/>
      <c r="V850" s="1"/>
      <c r="W850" s="1"/>
    </row>
    <row r="851">
      <c r="U851" s="1"/>
      <c r="V851" s="1"/>
      <c r="W851" s="1"/>
    </row>
    <row r="852">
      <c r="U852" s="1"/>
      <c r="V852" s="1"/>
      <c r="W852" s="1"/>
    </row>
    <row r="853">
      <c r="U853" s="1"/>
      <c r="V853" s="1"/>
      <c r="W853" s="1"/>
    </row>
    <row r="854">
      <c r="U854" s="1"/>
      <c r="V854" s="1"/>
      <c r="W854" s="1"/>
    </row>
    <row r="855">
      <c r="U855" s="1"/>
      <c r="V855" s="1"/>
      <c r="W855" s="1"/>
    </row>
    <row r="856">
      <c r="U856" s="1"/>
      <c r="V856" s="1"/>
      <c r="W856" s="1"/>
    </row>
    <row r="857">
      <c r="U857" s="1"/>
      <c r="V857" s="1"/>
      <c r="W857" s="1"/>
    </row>
    <row r="858">
      <c r="U858" s="1"/>
      <c r="V858" s="1"/>
      <c r="W858" s="1"/>
    </row>
    <row r="859">
      <c r="U859" s="1"/>
      <c r="V859" s="1"/>
      <c r="W859" s="1"/>
    </row>
    <row r="860">
      <c r="U860" s="1"/>
      <c r="V860" s="1"/>
      <c r="W860" s="1"/>
    </row>
    <row r="861">
      <c r="U861" s="1"/>
      <c r="V861" s="1"/>
      <c r="W861" s="1"/>
    </row>
    <row r="862">
      <c r="U862" s="1"/>
      <c r="V862" s="1"/>
      <c r="W862" s="1"/>
    </row>
    <row r="863">
      <c r="U863" s="1"/>
      <c r="V863" s="1"/>
      <c r="W863" s="1"/>
    </row>
    <row r="864">
      <c r="U864" s="1"/>
      <c r="V864" s="1"/>
      <c r="W864" s="1"/>
    </row>
    <row r="865">
      <c r="U865" s="1"/>
      <c r="V865" s="1"/>
      <c r="W865" s="1"/>
    </row>
    <row r="866">
      <c r="U866" s="1"/>
      <c r="V866" s="1"/>
      <c r="W866" s="1"/>
    </row>
    <row r="867">
      <c r="U867" s="1"/>
      <c r="V867" s="1"/>
      <c r="W867" s="1"/>
    </row>
    <row r="868">
      <c r="U868" s="1"/>
      <c r="V868" s="1"/>
      <c r="W868" s="1"/>
    </row>
    <row r="869">
      <c r="U869" s="1"/>
      <c r="V869" s="1"/>
      <c r="W869" s="1"/>
    </row>
    <row r="870">
      <c r="U870" s="1"/>
      <c r="V870" s="1"/>
      <c r="W870" s="1"/>
    </row>
    <row r="871">
      <c r="U871" s="1"/>
      <c r="V871" s="1"/>
      <c r="W871" s="1"/>
    </row>
    <row r="872">
      <c r="U872" s="1"/>
      <c r="V872" s="1"/>
      <c r="W872" s="1"/>
    </row>
    <row r="873">
      <c r="U873" s="1"/>
      <c r="V873" s="1"/>
      <c r="W873" s="1"/>
    </row>
    <row r="874">
      <c r="U874" s="1"/>
      <c r="V874" s="1"/>
      <c r="W874" s="1"/>
    </row>
    <row r="875">
      <c r="U875" s="1"/>
      <c r="V875" s="1"/>
      <c r="W875" s="1"/>
    </row>
    <row r="876">
      <c r="U876" s="1"/>
      <c r="V876" s="1"/>
      <c r="W876" s="1"/>
    </row>
    <row r="877">
      <c r="U877" s="1"/>
      <c r="V877" s="1"/>
      <c r="W877" s="1"/>
    </row>
    <row r="878">
      <c r="U878" s="1"/>
      <c r="V878" s="1"/>
      <c r="W878" s="1"/>
    </row>
    <row r="879">
      <c r="U879" s="1"/>
      <c r="V879" s="1"/>
      <c r="W879" s="1"/>
    </row>
    <row r="880">
      <c r="U880" s="1"/>
      <c r="V880" s="1"/>
      <c r="W880" s="1"/>
    </row>
    <row r="881">
      <c r="U881" s="1"/>
      <c r="V881" s="1"/>
      <c r="W881" s="1"/>
    </row>
    <row r="882">
      <c r="U882" s="1"/>
      <c r="V882" s="1"/>
      <c r="W882" s="1"/>
    </row>
    <row r="883">
      <c r="U883" s="1"/>
      <c r="V883" s="1"/>
      <c r="W883" s="1"/>
    </row>
    <row r="884">
      <c r="U884" s="1"/>
      <c r="V884" s="1"/>
      <c r="W884" s="1"/>
    </row>
    <row r="885">
      <c r="U885" s="1"/>
      <c r="V885" s="1"/>
      <c r="W885" s="1"/>
    </row>
    <row r="886">
      <c r="U886" s="1"/>
      <c r="V886" s="1"/>
      <c r="W886" s="1"/>
    </row>
    <row r="887">
      <c r="U887" s="1"/>
      <c r="V887" s="1"/>
      <c r="W887" s="1"/>
    </row>
    <row r="888">
      <c r="U888" s="1"/>
      <c r="V888" s="1"/>
      <c r="W888" s="1"/>
    </row>
    <row r="889">
      <c r="U889" s="1"/>
      <c r="V889" s="1"/>
      <c r="W889" s="1"/>
    </row>
    <row r="890">
      <c r="U890" s="1"/>
      <c r="V890" s="1"/>
      <c r="W890" s="1"/>
    </row>
    <row r="891">
      <c r="U891" s="1"/>
      <c r="V891" s="1"/>
      <c r="W891" s="1"/>
    </row>
    <row r="892">
      <c r="U892" s="1"/>
      <c r="V892" s="1"/>
      <c r="W892" s="1"/>
    </row>
    <row r="893">
      <c r="U893" s="1"/>
      <c r="V893" s="1"/>
      <c r="W893" s="1"/>
    </row>
    <row r="894">
      <c r="U894" s="1"/>
      <c r="V894" s="1"/>
      <c r="W894" s="1"/>
    </row>
    <row r="895">
      <c r="U895" s="1"/>
      <c r="V895" s="1"/>
      <c r="W895" s="1"/>
    </row>
    <row r="896">
      <c r="U896" s="1"/>
      <c r="V896" s="1"/>
      <c r="W896" s="1"/>
    </row>
    <row r="897">
      <c r="U897" s="1"/>
      <c r="V897" s="1"/>
      <c r="W897" s="1"/>
    </row>
    <row r="898">
      <c r="U898" s="1"/>
      <c r="V898" s="1"/>
      <c r="W898" s="1"/>
    </row>
    <row r="899">
      <c r="U899" s="1"/>
      <c r="V899" s="1"/>
      <c r="W899" s="1"/>
    </row>
    <row r="900">
      <c r="U900" s="1"/>
      <c r="V900" s="1"/>
      <c r="W900" s="1"/>
    </row>
    <row r="901">
      <c r="U901" s="1"/>
      <c r="V901" s="1"/>
      <c r="W901" s="1"/>
    </row>
    <row r="902">
      <c r="U902" s="1"/>
      <c r="V902" s="1"/>
      <c r="W902" s="1"/>
    </row>
    <row r="903">
      <c r="U903" s="1"/>
      <c r="V903" s="1"/>
      <c r="W903" s="1"/>
    </row>
    <row r="904">
      <c r="U904" s="1"/>
      <c r="V904" s="1"/>
      <c r="W904" s="1"/>
    </row>
    <row r="905">
      <c r="U905" s="1"/>
      <c r="V905" s="1"/>
      <c r="W905" s="1"/>
    </row>
    <row r="906">
      <c r="U906" s="1"/>
      <c r="V906" s="1"/>
      <c r="W906" s="1"/>
    </row>
    <row r="907">
      <c r="U907" s="1"/>
      <c r="V907" s="1"/>
      <c r="W907" s="1"/>
    </row>
    <row r="908">
      <c r="U908" s="1"/>
      <c r="V908" s="1"/>
      <c r="W908" s="1"/>
    </row>
    <row r="909">
      <c r="U909" s="1"/>
      <c r="V909" s="1"/>
      <c r="W909" s="1"/>
    </row>
    <row r="910">
      <c r="U910" s="1"/>
      <c r="V910" s="1"/>
      <c r="W910" s="1"/>
    </row>
    <row r="911">
      <c r="U911" s="1"/>
      <c r="V911" s="1"/>
      <c r="W911" s="1"/>
    </row>
    <row r="912">
      <c r="U912" s="1"/>
      <c r="V912" s="1"/>
      <c r="W912" s="1"/>
    </row>
    <row r="913">
      <c r="U913" s="1"/>
      <c r="V913" s="1"/>
      <c r="W913" s="1"/>
    </row>
    <row r="914">
      <c r="U914" s="1"/>
      <c r="V914" s="1"/>
      <c r="W914" s="1"/>
    </row>
    <row r="915">
      <c r="U915" s="1"/>
      <c r="V915" s="1"/>
      <c r="W915" s="1"/>
    </row>
    <row r="916">
      <c r="U916" s="1"/>
      <c r="V916" s="1"/>
      <c r="W916" s="1"/>
    </row>
    <row r="917">
      <c r="U917" s="1"/>
      <c r="V917" s="1"/>
      <c r="W917" s="1"/>
    </row>
    <row r="918">
      <c r="U918" s="1"/>
      <c r="V918" s="1"/>
      <c r="W918" s="1"/>
    </row>
    <row r="919">
      <c r="U919" s="1"/>
      <c r="V919" s="1"/>
      <c r="W919" s="1"/>
    </row>
    <row r="920">
      <c r="U920" s="1"/>
      <c r="V920" s="1"/>
      <c r="W920" s="1"/>
    </row>
    <row r="921">
      <c r="U921" s="1"/>
      <c r="V921" s="1"/>
      <c r="W921" s="1"/>
    </row>
    <row r="922">
      <c r="U922" s="1"/>
      <c r="V922" s="1"/>
      <c r="W922" s="1"/>
    </row>
    <row r="923">
      <c r="U923" s="1"/>
      <c r="V923" s="1"/>
      <c r="W923" s="1"/>
    </row>
    <row r="924">
      <c r="U924" s="1"/>
      <c r="V924" s="1"/>
      <c r="W924" s="1"/>
    </row>
    <row r="925">
      <c r="U925" s="1"/>
      <c r="V925" s="1"/>
      <c r="W925" s="1"/>
    </row>
    <row r="926">
      <c r="U926" s="1"/>
      <c r="V926" s="1"/>
      <c r="W926" s="1"/>
    </row>
    <row r="927">
      <c r="U927" s="1"/>
      <c r="V927" s="1"/>
      <c r="W927" s="1"/>
    </row>
    <row r="928">
      <c r="U928" s="1"/>
      <c r="V928" s="1"/>
      <c r="W928" s="1"/>
    </row>
    <row r="929">
      <c r="U929" s="1"/>
      <c r="V929" s="1"/>
      <c r="W929" s="1"/>
    </row>
    <row r="930">
      <c r="U930" s="1"/>
      <c r="V930" s="1"/>
      <c r="W930" s="1"/>
    </row>
    <row r="931">
      <c r="U931" s="1"/>
      <c r="V931" s="1"/>
      <c r="W931" s="1"/>
    </row>
    <row r="932">
      <c r="U932" s="1"/>
      <c r="V932" s="1"/>
      <c r="W932" s="1"/>
    </row>
    <row r="933">
      <c r="U933" s="1"/>
      <c r="V933" s="1"/>
      <c r="W933" s="1"/>
    </row>
    <row r="934">
      <c r="U934" s="1"/>
      <c r="V934" s="1"/>
      <c r="W934" s="1"/>
    </row>
    <row r="935">
      <c r="U935" s="1"/>
      <c r="V935" s="1"/>
      <c r="W935" s="1"/>
    </row>
    <row r="936">
      <c r="U936" s="1"/>
      <c r="V936" s="1"/>
      <c r="W936" s="1"/>
    </row>
    <row r="937">
      <c r="U937" s="1"/>
      <c r="V937" s="1"/>
      <c r="W937" s="1"/>
    </row>
    <row r="938">
      <c r="U938" s="1"/>
      <c r="V938" s="1"/>
      <c r="W938" s="1"/>
    </row>
    <row r="939">
      <c r="U939" s="1"/>
      <c r="V939" s="1"/>
      <c r="W939" s="1"/>
    </row>
    <row r="940">
      <c r="U940" s="1"/>
      <c r="V940" s="1"/>
      <c r="W940" s="1"/>
    </row>
    <row r="941">
      <c r="U941" s="1"/>
      <c r="V941" s="1"/>
      <c r="W941" s="1"/>
    </row>
    <row r="942">
      <c r="U942" s="1"/>
      <c r="V942" s="1"/>
      <c r="W942" s="1"/>
    </row>
    <row r="943">
      <c r="U943" s="1"/>
      <c r="V943" s="1"/>
      <c r="W943" s="1"/>
    </row>
    <row r="944">
      <c r="U944" s="1"/>
      <c r="V944" s="1"/>
      <c r="W944" s="1"/>
    </row>
    <row r="945">
      <c r="U945" s="1"/>
      <c r="V945" s="1"/>
      <c r="W945" s="1"/>
    </row>
    <row r="946">
      <c r="U946" s="1"/>
      <c r="V946" s="1"/>
      <c r="W946" s="1"/>
    </row>
    <row r="947">
      <c r="U947" s="1"/>
      <c r="V947" s="1"/>
      <c r="W947" s="1"/>
    </row>
    <row r="948">
      <c r="U948" s="1"/>
      <c r="V948" s="1"/>
      <c r="W948" s="1"/>
    </row>
    <row r="949">
      <c r="U949" s="1"/>
      <c r="V949" s="1"/>
      <c r="W949" s="1"/>
    </row>
    <row r="950">
      <c r="U950" s="1"/>
      <c r="V950" s="1"/>
      <c r="W950" s="1"/>
    </row>
    <row r="951">
      <c r="U951" s="1"/>
      <c r="V951" s="1"/>
      <c r="W951" s="1"/>
    </row>
    <row r="952">
      <c r="U952" s="1"/>
      <c r="V952" s="1"/>
      <c r="W952" s="1"/>
    </row>
    <row r="953">
      <c r="U953" s="1"/>
      <c r="V953" s="1"/>
      <c r="W953" s="1"/>
    </row>
    <row r="954">
      <c r="U954" s="1"/>
      <c r="V954" s="1"/>
      <c r="W954" s="1"/>
    </row>
    <row r="955">
      <c r="U955" s="1"/>
      <c r="V955" s="1"/>
      <c r="W955" s="1"/>
    </row>
    <row r="956">
      <c r="U956" s="1"/>
      <c r="V956" s="1"/>
      <c r="W956" s="1"/>
    </row>
    <row r="957">
      <c r="U957" s="1"/>
      <c r="V957" s="1"/>
      <c r="W957" s="1"/>
    </row>
    <row r="958">
      <c r="U958" s="1"/>
      <c r="V958" s="1"/>
      <c r="W958" s="1"/>
    </row>
    <row r="959">
      <c r="U959" s="1"/>
      <c r="V959" s="1"/>
      <c r="W959" s="1"/>
    </row>
    <row r="960">
      <c r="U960" s="1"/>
      <c r="V960" s="1"/>
      <c r="W960" s="1"/>
    </row>
    <row r="961">
      <c r="U961" s="1"/>
      <c r="V961" s="1"/>
      <c r="W961" s="1"/>
    </row>
    <row r="962">
      <c r="U962" s="1"/>
      <c r="V962" s="1"/>
      <c r="W962" s="1"/>
    </row>
    <row r="963">
      <c r="U963" s="1"/>
      <c r="V963" s="1"/>
      <c r="W963" s="1"/>
    </row>
    <row r="964">
      <c r="U964" s="1"/>
      <c r="V964" s="1"/>
      <c r="W964" s="1"/>
    </row>
    <row r="965">
      <c r="U965" s="1"/>
      <c r="V965" s="1"/>
      <c r="W965" s="1"/>
    </row>
    <row r="966">
      <c r="U966" s="1"/>
      <c r="V966" s="1"/>
      <c r="W966" s="1"/>
    </row>
    <row r="967">
      <c r="U967" s="1"/>
      <c r="V967" s="1"/>
      <c r="W967" s="1"/>
    </row>
    <row r="968">
      <c r="U968" s="1"/>
      <c r="V968" s="1"/>
      <c r="W968" s="1"/>
    </row>
    <row r="969">
      <c r="U969" s="1"/>
      <c r="V969" s="1"/>
      <c r="W969" s="1"/>
    </row>
    <row r="970">
      <c r="U970" s="1"/>
      <c r="V970" s="1"/>
      <c r="W970" s="1"/>
    </row>
    <row r="971">
      <c r="U971" s="1"/>
      <c r="V971" s="1"/>
      <c r="W971" s="1"/>
    </row>
    <row r="972">
      <c r="U972" s="1"/>
      <c r="V972" s="1"/>
      <c r="W972" s="1"/>
    </row>
    <row r="973">
      <c r="U973" s="1"/>
      <c r="V973" s="1"/>
      <c r="W973" s="1"/>
    </row>
    <row r="974">
      <c r="U974" s="1"/>
      <c r="V974" s="1"/>
      <c r="W974" s="1"/>
    </row>
    <row r="975">
      <c r="U975" s="1"/>
      <c r="V975" s="1"/>
      <c r="W975" s="1"/>
    </row>
    <row r="976">
      <c r="U976" s="1"/>
      <c r="V976" s="1"/>
      <c r="W976" s="1"/>
    </row>
    <row r="977">
      <c r="U977" s="1"/>
      <c r="V977" s="1"/>
      <c r="W977" s="1"/>
    </row>
    <row r="978">
      <c r="U978" s="1"/>
      <c r="V978" s="1"/>
      <c r="W978" s="1"/>
    </row>
    <row r="979">
      <c r="U979" s="1"/>
      <c r="V979" s="1"/>
      <c r="W979" s="1"/>
    </row>
    <row r="980">
      <c r="U980" s="1"/>
      <c r="V980" s="1"/>
      <c r="W980" s="1"/>
    </row>
    <row r="981">
      <c r="U981" s="1"/>
      <c r="V981" s="1"/>
      <c r="W981" s="1"/>
    </row>
    <row r="982">
      <c r="U982" s="1"/>
      <c r="V982" s="1"/>
      <c r="W982" s="1"/>
    </row>
    <row r="983">
      <c r="U983" s="1"/>
      <c r="V983" s="1"/>
      <c r="W983" s="1"/>
    </row>
    <row r="984">
      <c r="U984" s="1"/>
      <c r="V984" s="1"/>
      <c r="W984" s="1"/>
    </row>
    <row r="985">
      <c r="U985" s="1"/>
      <c r="V985" s="1"/>
      <c r="W985" s="1"/>
    </row>
    <row r="986">
      <c r="U986" s="1"/>
      <c r="V986" s="1"/>
      <c r="W986" s="1"/>
    </row>
    <row r="987">
      <c r="U987" s="1"/>
      <c r="V987" s="1"/>
      <c r="W987" s="1"/>
    </row>
    <row r="988">
      <c r="U988" s="1"/>
      <c r="V988" s="1"/>
      <c r="W988" s="1"/>
    </row>
    <row r="989">
      <c r="U989" s="1"/>
      <c r="V989" s="1"/>
      <c r="W989" s="1"/>
    </row>
    <row r="990">
      <c r="U990" s="1"/>
      <c r="V990" s="1"/>
      <c r="W990" s="1"/>
    </row>
    <row r="991">
      <c r="U991" s="1"/>
      <c r="V991" s="1"/>
      <c r="W991" s="1"/>
    </row>
    <row r="992">
      <c r="U992" s="1"/>
      <c r="V992" s="1"/>
      <c r="W992" s="1"/>
    </row>
    <row r="993">
      <c r="U993" s="1"/>
      <c r="V993" s="1"/>
      <c r="W993" s="1"/>
    </row>
    <row r="994">
      <c r="U994" s="1"/>
      <c r="V994" s="1"/>
      <c r="W994" s="1"/>
    </row>
    <row r="995">
      <c r="U995" s="1"/>
      <c r="V995" s="1"/>
      <c r="W995" s="1"/>
    </row>
    <row r="996">
      <c r="U996" s="1"/>
      <c r="V996" s="1"/>
      <c r="W996" s="1"/>
    </row>
    <row r="997">
      <c r="U997" s="1"/>
      <c r="V997" s="1"/>
      <c r="W997" s="1"/>
    </row>
    <row r="998">
      <c r="U998" s="1"/>
      <c r="V998" s="1"/>
      <c r="W998" s="1"/>
    </row>
    <row r="999">
      <c r="U999" s="1"/>
      <c r="V999" s="1"/>
      <c r="W999" s="1"/>
    </row>
    <row r="1000">
      <c r="U1000" s="1"/>
      <c r="V1000" s="1"/>
      <c r="W1000" s="1"/>
    </row>
    <row r="1001">
      <c r="U1001" s="1"/>
      <c r="V1001" s="1"/>
      <c r="W1001" s="1"/>
    </row>
    <row r="1002">
      <c r="U1002" s="1"/>
      <c r="V1002" s="1"/>
      <c r="W1002" s="1"/>
    </row>
    <row r="1003">
      <c r="U1003" s="1"/>
      <c r="V1003" s="1"/>
      <c r="W1003" s="1"/>
    </row>
    <row r="1004">
      <c r="U1004" s="1"/>
      <c r="V1004" s="1"/>
      <c r="W1004" s="1"/>
    </row>
    <row r="1005">
      <c r="U1005" s="1"/>
      <c r="V1005" s="1"/>
      <c r="W1005" s="1"/>
    </row>
    <row r="1006">
      <c r="U1006" s="1"/>
      <c r="V1006" s="1"/>
      <c r="W1006" s="1"/>
    </row>
    <row r="1007">
      <c r="U1007" s="1"/>
      <c r="V1007" s="1"/>
      <c r="W1007" s="1"/>
    </row>
    <row r="1008">
      <c r="U1008" s="1"/>
      <c r="V1008" s="1"/>
      <c r="W1008" s="1"/>
    </row>
    <row r="1009">
      <c r="U1009" s="1"/>
      <c r="V1009" s="1"/>
      <c r="W1009" s="1"/>
    </row>
    <row r="1010">
      <c r="U1010" s="1"/>
      <c r="V1010" s="1"/>
      <c r="W1010" s="1"/>
    </row>
    <row r="1011">
      <c r="U1011" s="1"/>
      <c r="V1011" s="1"/>
      <c r="W1011" s="1"/>
    </row>
    <row r="1012">
      <c r="U1012" s="1"/>
      <c r="V1012" s="1"/>
      <c r="W1012" s="1"/>
    </row>
    <row r="1013">
      <c r="U1013" s="1"/>
      <c r="V1013" s="1"/>
      <c r="W1013" s="1"/>
    </row>
    <row r="1014">
      <c r="U1014" s="1"/>
      <c r="V1014" s="1"/>
      <c r="W1014" s="1"/>
    </row>
    <row r="1015">
      <c r="U1015" s="1"/>
      <c r="V1015" s="1"/>
      <c r="W1015" s="1"/>
    </row>
    <row r="1016">
      <c r="U1016" s="1"/>
      <c r="V1016" s="1"/>
      <c r="W1016" s="1"/>
    </row>
    <row r="1017">
      <c r="U1017" s="1"/>
      <c r="V1017" s="1"/>
      <c r="W1017" s="1"/>
    </row>
    <row r="1018">
      <c r="U1018" s="1"/>
      <c r="V1018" s="1"/>
      <c r="W1018" s="1"/>
    </row>
    <row r="1019">
      <c r="U1019" s="1"/>
      <c r="V1019" s="1"/>
      <c r="W1019" s="1"/>
    </row>
    <row r="1020">
      <c r="U1020" s="1"/>
      <c r="V1020" s="1"/>
      <c r="W1020" s="1"/>
    </row>
    <row r="1021">
      <c r="U1021" s="1"/>
      <c r="V1021" s="1"/>
      <c r="W1021" s="1"/>
    </row>
    <row r="1022">
      <c r="U1022" s="1"/>
      <c r="V1022" s="1"/>
      <c r="W1022" s="1"/>
    </row>
    <row r="1023">
      <c r="U1023" s="1"/>
      <c r="V1023" s="1"/>
      <c r="W1023" s="1"/>
    </row>
    <row r="1024">
      <c r="U1024" s="1"/>
      <c r="V1024" s="1"/>
      <c r="W1024" s="1"/>
    </row>
    <row r="1025">
      <c r="U1025" s="1"/>
      <c r="V1025" s="1"/>
      <c r="W1025" s="1"/>
    </row>
    <row r="1026">
      <c r="U1026" s="1"/>
      <c r="V1026" s="1"/>
      <c r="W1026" s="1"/>
    </row>
    <row r="1027">
      <c r="U1027" s="1"/>
      <c r="V1027" s="1"/>
      <c r="W1027" s="1"/>
    </row>
    <row r="1028">
      <c r="U1028" s="1"/>
      <c r="V1028" s="1"/>
      <c r="W1028" s="1"/>
    </row>
    <row r="1029">
      <c r="U1029" s="1"/>
      <c r="V1029" s="1"/>
      <c r="W1029" s="1"/>
    </row>
    <row r="1030">
      <c r="U1030" s="1"/>
      <c r="V1030" s="1"/>
      <c r="W1030" s="1"/>
    </row>
    <row r="1031">
      <c r="U1031" s="1"/>
      <c r="V1031" s="1"/>
      <c r="W1031" s="1"/>
    </row>
    <row r="1032">
      <c r="U1032" s="1"/>
      <c r="V1032" s="1"/>
      <c r="W1032" s="1"/>
    </row>
    <row r="1033">
      <c r="U1033" s="1"/>
      <c r="V1033" s="1"/>
      <c r="W1033" s="1"/>
    </row>
    <row r="1034">
      <c r="U1034" s="1"/>
      <c r="V1034" s="1"/>
      <c r="W1034" s="1"/>
    </row>
    <row r="1035">
      <c r="U1035" s="1"/>
      <c r="V1035" s="1"/>
      <c r="W1035" s="1"/>
    </row>
    <row r="1036">
      <c r="U1036" s="1"/>
      <c r="V1036" s="1"/>
      <c r="W1036" s="1"/>
    </row>
    <row r="1037">
      <c r="U1037" s="1"/>
      <c r="V1037" s="1"/>
      <c r="W1037" s="1"/>
    </row>
    <row r="1038">
      <c r="U1038" s="1"/>
      <c r="V1038" s="1"/>
      <c r="W1038" s="1"/>
    </row>
    <row r="1039">
      <c r="U1039" s="1"/>
      <c r="V1039" s="1"/>
      <c r="W1039" s="1"/>
    </row>
    <row r="1040">
      <c r="U1040" s="1"/>
      <c r="V1040" s="1"/>
      <c r="W1040" s="1"/>
    </row>
    <row r="1041">
      <c r="U1041" s="1"/>
      <c r="V1041" s="1"/>
      <c r="W1041" s="1"/>
    </row>
    <row r="1042">
      <c r="U1042" s="1"/>
      <c r="V1042" s="1"/>
      <c r="W1042" s="1"/>
    </row>
    <row r="1043">
      <c r="U1043" s="1"/>
      <c r="V1043" s="1"/>
      <c r="W1043" s="1"/>
    </row>
    <row r="1044">
      <c r="U1044" s="1"/>
      <c r="V1044" s="1"/>
      <c r="W1044" s="1"/>
    </row>
    <row r="1045">
      <c r="U1045" s="1"/>
      <c r="V1045" s="1"/>
      <c r="W1045" s="1"/>
    </row>
    <row r="1046">
      <c r="U1046" s="1"/>
      <c r="V1046" s="1"/>
      <c r="W1046" s="1"/>
    </row>
    <row r="1047">
      <c r="U1047" s="1"/>
      <c r="V1047" s="1"/>
      <c r="W1047" s="1"/>
    </row>
    <row r="1048">
      <c r="U1048" s="1"/>
      <c r="V1048" s="1"/>
      <c r="W1048" s="1"/>
    </row>
    <row r="1049">
      <c r="U1049" s="1"/>
      <c r="V1049" s="1"/>
      <c r="W1049" s="1"/>
    </row>
    <row r="1050">
      <c r="U1050" s="1"/>
      <c r="V1050" s="1"/>
      <c r="W1050" s="1"/>
    </row>
    <row r="1051">
      <c r="U1051" s="1"/>
      <c r="V1051" s="1"/>
      <c r="W1051" s="1"/>
    </row>
    <row r="1052">
      <c r="U1052" s="1"/>
      <c r="V1052" s="1"/>
      <c r="W1052" s="1"/>
    </row>
    <row r="1053">
      <c r="U1053" s="1"/>
      <c r="V1053" s="1"/>
      <c r="W1053" s="1"/>
    </row>
    <row r="1054">
      <c r="U1054" s="1"/>
      <c r="V1054" s="1"/>
      <c r="W1054" s="1"/>
    </row>
    <row r="1055">
      <c r="U1055" s="1"/>
      <c r="V1055" s="1"/>
      <c r="W1055" s="1"/>
    </row>
    <row r="1056">
      <c r="U1056" s="1"/>
      <c r="V1056" s="1"/>
      <c r="W1056" s="1"/>
    </row>
    <row r="1057">
      <c r="U1057" s="1"/>
      <c r="V1057" s="1"/>
      <c r="W1057" s="1"/>
    </row>
    <row r="1058">
      <c r="U1058" s="1"/>
      <c r="V1058" s="1"/>
      <c r="W1058" s="1"/>
    </row>
    <row r="1059">
      <c r="U1059" s="1"/>
      <c r="V1059" s="1"/>
      <c r="W1059" s="1"/>
    </row>
    <row r="1060">
      <c r="U1060" s="1"/>
      <c r="V1060" s="1"/>
      <c r="W1060" s="1"/>
    </row>
    <row r="1061">
      <c r="U1061" s="1"/>
      <c r="V1061" s="1"/>
      <c r="W1061" s="1"/>
    </row>
    <row r="1062">
      <c r="U1062" s="1"/>
      <c r="V1062" s="1"/>
      <c r="W1062" s="1"/>
    </row>
    <row r="1063">
      <c r="U1063" s="1"/>
      <c r="V1063" s="1"/>
      <c r="W1063" s="1"/>
    </row>
    <row r="1064">
      <c r="U1064" s="1"/>
      <c r="V1064" s="1"/>
      <c r="W1064" s="1"/>
    </row>
    <row r="1065">
      <c r="U1065" s="1"/>
      <c r="V1065" s="1"/>
      <c r="W1065" s="1"/>
    </row>
    <row r="1066">
      <c r="U1066" s="1"/>
      <c r="V1066" s="1"/>
      <c r="W1066" s="1"/>
    </row>
  </sheetData>
  <mergeCells count="8">
    <mergeCell ref="B2:U2"/>
    <mergeCell ref="S3:U3"/>
    <mergeCell ref="B15:W15"/>
    <mergeCell ref="R16:W16"/>
    <mergeCell ref="B75:Y75"/>
    <mergeCell ref="V76:Y76"/>
    <mergeCell ref="B107:S107"/>
    <mergeCell ref="Q108:S108"/>
  </mergeCells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5"/>
    <col customWidth="1" min="3" max="3" width="19.38"/>
    <col customWidth="1" min="8" max="8" width="79.75"/>
  </cols>
  <sheetData>
    <row r="2">
      <c r="B2" s="5" t="s">
        <v>149</v>
      </c>
      <c r="C2" s="5" t="s">
        <v>23</v>
      </c>
      <c r="H2" s="75" t="s">
        <v>560</v>
      </c>
    </row>
    <row r="3">
      <c r="B3" s="6" t="s">
        <v>561</v>
      </c>
      <c r="C3" s="7">
        <v>0.01</v>
      </c>
      <c r="H3" s="35" t="s">
        <v>562</v>
      </c>
      <c r="I3" s="27">
        <f>'Инвентарь'!I77</f>
        <v>2</v>
      </c>
    </row>
    <row r="4">
      <c r="B4" s="6" t="s">
        <v>563</v>
      </c>
      <c r="C4" s="6">
        <v>2.0</v>
      </c>
      <c r="H4" s="35" t="s">
        <v>564</v>
      </c>
      <c r="I4" s="27">
        <f>I3*4/'Инвентарь'!T77</f>
        <v>1.6</v>
      </c>
    </row>
    <row r="5">
      <c r="B5" s="6" t="s">
        <v>565</v>
      </c>
      <c r="C5" s="6">
        <f>'Параметры персонажа'!P4*2*60</f>
        <v>0.5</v>
      </c>
      <c r="H5" s="35" t="s">
        <v>566</v>
      </c>
      <c r="I5" s="27">
        <f>I4*'Навыки персонажа'!C10</f>
        <v>2</v>
      </c>
    </row>
    <row r="6">
      <c r="H6" s="35" t="s">
        <v>567</v>
      </c>
      <c r="I6" s="27">
        <f>I5*'Навыки персонажа'!C21</f>
        <v>3</v>
      </c>
    </row>
    <row r="7">
      <c r="H7" s="54" t="s">
        <v>568</v>
      </c>
      <c r="I7" s="76">
        <f>C3</f>
        <v>0.01</v>
      </c>
    </row>
    <row r="8">
      <c r="H8" s="54" t="s">
        <v>569</v>
      </c>
      <c r="I8" s="77">
        <f>I5</f>
        <v>2</v>
      </c>
    </row>
    <row r="9">
      <c r="H9" s="54" t="s">
        <v>570</v>
      </c>
      <c r="I9" s="77"/>
    </row>
    <row r="10">
      <c r="H10" s="35" t="s">
        <v>571</v>
      </c>
      <c r="I10" s="35">
        <v>4.0</v>
      </c>
    </row>
    <row r="11">
      <c r="H11" s="35" t="s">
        <v>572</v>
      </c>
      <c r="I11" s="27">
        <f>I10*2/10</f>
        <v>0.8</v>
      </c>
    </row>
    <row r="12">
      <c r="H12" s="35" t="s">
        <v>573</v>
      </c>
      <c r="I12" s="27">
        <f>I8-I11</f>
        <v>1.2</v>
      </c>
    </row>
    <row r="13">
      <c r="H13" s="78" t="s">
        <v>574</v>
      </c>
      <c r="I13" s="79">
        <f>C5</f>
        <v>0.5</v>
      </c>
    </row>
    <row r="14">
      <c r="H14" s="35" t="s">
        <v>575</v>
      </c>
      <c r="I14" s="49">
        <v>0.2</v>
      </c>
    </row>
    <row r="15">
      <c r="H15" s="35" t="s">
        <v>576</v>
      </c>
      <c r="I15" s="27"/>
    </row>
    <row r="16">
      <c r="H16" s="35" t="s">
        <v>577</v>
      </c>
      <c r="I16" s="49">
        <v>0.2</v>
      </c>
    </row>
    <row r="17">
      <c r="H17" s="35" t="s">
        <v>578</v>
      </c>
      <c r="I17" s="27"/>
    </row>
    <row r="18">
      <c r="H18" s="35" t="s">
        <v>579</v>
      </c>
      <c r="I18" s="27">
        <f>ROUNDUP(I12,0)</f>
        <v>2</v>
      </c>
    </row>
    <row r="19">
      <c r="H19" s="35" t="s">
        <v>580</v>
      </c>
      <c r="I19" s="27">
        <f>I18</f>
        <v>2</v>
      </c>
    </row>
    <row r="20">
      <c r="H20" s="35" t="s">
        <v>581</v>
      </c>
      <c r="I20" s="69">
        <f>'Инвентарь'!L77</f>
        <v>1.5</v>
      </c>
    </row>
    <row r="21">
      <c r="H21" s="35" t="s">
        <v>582</v>
      </c>
      <c r="I21" s="27">
        <f>Roundup(I19*I20,0)</f>
        <v>3</v>
      </c>
    </row>
    <row r="22">
      <c r="H22" s="35" t="s">
        <v>583</v>
      </c>
      <c r="I22" s="69">
        <f>I19*'Параметры персонажа'!N67</f>
        <v>0.01</v>
      </c>
    </row>
    <row r="23">
      <c r="H23" s="35" t="s">
        <v>584</v>
      </c>
      <c r="I23" s="69">
        <f>I19*'Параметры персонажа'!N66</f>
        <v>0.04</v>
      </c>
    </row>
    <row r="24">
      <c r="H24" s="35" t="s">
        <v>585</v>
      </c>
      <c r="I24" s="69">
        <f>I19*'Параметры персонажа'!N65</f>
        <v>0.1</v>
      </c>
    </row>
    <row r="25">
      <c r="H25" s="35" t="s">
        <v>586</v>
      </c>
      <c r="I25" s="35">
        <v>1.0</v>
      </c>
    </row>
    <row r="26">
      <c r="H26" s="35" t="s">
        <v>587</v>
      </c>
      <c r="I26" s="69">
        <f>'Инвентарь'!K77</f>
        <v>0.25</v>
      </c>
    </row>
    <row r="27">
      <c r="H27" s="35" t="s">
        <v>588</v>
      </c>
      <c r="I27" s="69">
        <f>I25*'Параметры персонажа'!N70*I26</f>
        <v>0.025</v>
      </c>
    </row>
    <row r="28">
      <c r="H28" s="35" t="s">
        <v>589</v>
      </c>
      <c r="I28" s="69">
        <f>I25*'Параметры персонажа'!N69*I26</f>
        <v>0.0625</v>
      </c>
    </row>
    <row r="29">
      <c r="H29" s="35" t="s">
        <v>590</v>
      </c>
      <c r="I29" s="69">
        <f>I25*'Параметры персонажа'!N68*I26</f>
        <v>0.125</v>
      </c>
    </row>
    <row r="30">
      <c r="H30" s="35" t="s">
        <v>591</v>
      </c>
      <c r="I30" s="69">
        <f>I25*'Параметры персонажа'!N71</f>
        <v>0.05</v>
      </c>
    </row>
    <row r="31">
      <c r="I31" s="80"/>
    </row>
  </sheetData>
  <mergeCells count="1">
    <mergeCell ref="H2:I2"/>
  </mergeCells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78.38"/>
  </cols>
  <sheetData>
    <row r="1">
      <c r="A1" s="81" t="s">
        <v>592</v>
      </c>
      <c r="B1" s="81" t="s">
        <v>593</v>
      </c>
      <c r="C1" s="81" t="s">
        <v>594</v>
      </c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>
      <c r="A2" s="83" t="s">
        <v>595</v>
      </c>
      <c r="B2" s="83" t="s">
        <v>596</v>
      </c>
      <c r="C2" s="83" t="s">
        <v>597</v>
      </c>
    </row>
    <row r="3">
      <c r="A3" s="83" t="s">
        <v>598</v>
      </c>
      <c r="B3" s="83" t="s">
        <v>599</v>
      </c>
      <c r="C3" s="83" t="s">
        <v>600</v>
      </c>
    </row>
    <row r="4">
      <c r="A4" s="83" t="s">
        <v>601</v>
      </c>
      <c r="B4" s="83" t="s">
        <v>602</v>
      </c>
      <c r="C4" s="84" t="s">
        <v>603</v>
      </c>
    </row>
    <row r="5">
      <c r="A5" s="83" t="s">
        <v>604</v>
      </c>
      <c r="B5" s="83" t="s">
        <v>44</v>
      </c>
      <c r="C5" s="83" t="s">
        <v>605</v>
      </c>
    </row>
    <row r="6">
      <c r="A6" s="83" t="s">
        <v>606</v>
      </c>
      <c r="B6" s="83" t="s">
        <v>57</v>
      </c>
      <c r="C6" s="83" t="s">
        <v>607</v>
      </c>
    </row>
    <row r="7">
      <c r="A7" s="83" t="s">
        <v>608</v>
      </c>
      <c r="B7" s="83" t="s">
        <v>66</v>
      </c>
      <c r="C7" s="83" t="s">
        <v>609</v>
      </c>
    </row>
    <row r="8">
      <c r="A8" s="83" t="s">
        <v>610</v>
      </c>
      <c r="B8" s="83" t="s">
        <v>78</v>
      </c>
      <c r="C8" s="83" t="s">
        <v>611</v>
      </c>
    </row>
    <row r="9">
      <c r="A9" s="83" t="s">
        <v>612</v>
      </c>
      <c r="B9" s="83" t="s">
        <v>86</v>
      </c>
      <c r="C9" s="83" t="s">
        <v>613</v>
      </c>
    </row>
    <row r="10">
      <c r="A10" s="83" t="s">
        <v>614</v>
      </c>
      <c r="B10" s="83" t="s">
        <v>93</v>
      </c>
      <c r="C10" s="83" t="s">
        <v>615</v>
      </c>
    </row>
    <row r="11">
      <c r="A11" s="83" t="s">
        <v>616</v>
      </c>
      <c r="B11" s="83" t="s">
        <v>101</v>
      </c>
      <c r="C11" s="83" t="s">
        <v>617</v>
      </c>
    </row>
    <row r="12">
      <c r="A12" s="83" t="s">
        <v>618</v>
      </c>
      <c r="B12" s="83" t="s">
        <v>120</v>
      </c>
      <c r="C12" s="83" t="s">
        <v>619</v>
      </c>
    </row>
    <row r="13">
      <c r="A13" s="83" t="s">
        <v>620</v>
      </c>
      <c r="B13" s="83" t="s">
        <v>621</v>
      </c>
      <c r="C13" s="83" t="s">
        <v>622</v>
      </c>
    </row>
    <row r="14">
      <c r="A14" s="83" t="s">
        <v>623</v>
      </c>
      <c r="B14" s="83" t="s">
        <v>624</v>
      </c>
      <c r="C14" s="83" t="s">
        <v>625</v>
      </c>
    </row>
    <row r="15">
      <c r="A15" s="83" t="s">
        <v>626</v>
      </c>
      <c r="B15" s="83" t="s">
        <v>627</v>
      </c>
      <c r="C15" s="83" t="s">
        <v>622</v>
      </c>
    </row>
    <row r="16">
      <c r="A16" s="83" t="s">
        <v>628</v>
      </c>
      <c r="B16" s="83" t="s">
        <v>629</v>
      </c>
      <c r="C16" s="83" t="s">
        <v>625</v>
      </c>
    </row>
    <row r="17">
      <c r="A17" s="83" t="s">
        <v>630</v>
      </c>
      <c r="B17" s="83" t="s">
        <v>631</v>
      </c>
      <c r="C17" s="83" t="s">
        <v>632</v>
      </c>
    </row>
    <row r="18">
      <c r="A18" s="83" t="s">
        <v>633</v>
      </c>
      <c r="B18" s="83" t="s">
        <v>634</v>
      </c>
      <c r="C18" s="83" t="s">
        <v>622</v>
      </c>
    </row>
    <row r="19">
      <c r="A19" s="83" t="s">
        <v>635</v>
      </c>
      <c r="B19" s="83" t="s">
        <v>636</v>
      </c>
      <c r="C19" s="83" t="s">
        <v>632</v>
      </c>
    </row>
    <row r="20">
      <c r="A20" s="83" t="s">
        <v>637</v>
      </c>
      <c r="B20" s="83" t="s">
        <v>638</v>
      </c>
      <c r="C20" s="83" t="s">
        <v>622</v>
      </c>
    </row>
    <row r="21">
      <c r="A21" s="83" t="s">
        <v>639</v>
      </c>
      <c r="B21" s="83" t="s">
        <v>640</v>
      </c>
      <c r="C21" s="83" t="s">
        <v>641</v>
      </c>
    </row>
    <row r="22">
      <c r="A22" s="83" t="s">
        <v>642</v>
      </c>
      <c r="B22" s="83" t="s">
        <v>643</v>
      </c>
      <c r="C22" s="83" t="s">
        <v>644</v>
      </c>
    </row>
    <row r="23">
      <c r="A23" s="83" t="s">
        <v>645</v>
      </c>
      <c r="B23" s="83" t="s">
        <v>646</v>
      </c>
      <c r="C23" s="83" t="s">
        <v>647</v>
      </c>
    </row>
    <row r="24">
      <c r="A24" s="83" t="s">
        <v>648</v>
      </c>
      <c r="B24" s="83" t="s">
        <v>649</v>
      </c>
      <c r="C24" s="83" t="s">
        <v>650</v>
      </c>
    </row>
    <row r="25">
      <c r="A25" s="83" t="s">
        <v>651</v>
      </c>
      <c r="B25" s="83" t="s">
        <v>195</v>
      </c>
      <c r="C25" s="83" t="s">
        <v>652</v>
      </c>
    </row>
    <row r="26">
      <c r="A26" s="83" t="s">
        <v>653</v>
      </c>
      <c r="B26" s="83" t="s">
        <v>654</v>
      </c>
      <c r="C26" s="83" t="s">
        <v>652</v>
      </c>
    </row>
    <row r="27">
      <c r="A27" s="83" t="s">
        <v>655</v>
      </c>
      <c r="B27" s="83" t="s">
        <v>219</v>
      </c>
      <c r="C27" s="83" t="s">
        <v>609</v>
      </c>
    </row>
    <row r="28">
      <c r="A28" s="83" t="s">
        <v>656</v>
      </c>
      <c r="B28" s="83" t="s">
        <v>226</v>
      </c>
      <c r="C28" s="83" t="s">
        <v>657</v>
      </c>
    </row>
    <row r="29">
      <c r="A29" s="47" t="s">
        <v>658</v>
      </c>
      <c r="B29" s="35" t="s">
        <v>659</v>
      </c>
      <c r="C29" s="83" t="s">
        <v>622</v>
      </c>
    </row>
    <row r="30">
      <c r="A30" s="47" t="s">
        <v>660</v>
      </c>
      <c r="B30" s="35" t="s">
        <v>661</v>
      </c>
      <c r="C30" s="83" t="s">
        <v>625</v>
      </c>
    </row>
    <row r="31">
      <c r="A31" s="47" t="s">
        <v>662</v>
      </c>
      <c r="B31" s="47" t="s">
        <v>663</v>
      </c>
      <c r="C31" s="47" t="s">
        <v>650</v>
      </c>
    </row>
    <row r="32">
      <c r="A32" s="47" t="s">
        <v>664</v>
      </c>
      <c r="B32" s="47" t="s">
        <v>665</v>
      </c>
      <c r="C32" s="47" t="s">
        <v>632</v>
      </c>
    </row>
    <row r="33">
      <c r="A33" s="47" t="s">
        <v>666</v>
      </c>
      <c r="B33" s="47" t="s">
        <v>667</v>
      </c>
      <c r="C33" s="47" t="s">
        <v>625</v>
      </c>
    </row>
    <row r="34">
      <c r="A34" s="47" t="s">
        <v>668</v>
      </c>
      <c r="B34" s="47" t="s">
        <v>669</v>
      </c>
      <c r="C34" s="47" t="s">
        <v>632</v>
      </c>
    </row>
    <row r="35">
      <c r="A35" s="47" t="s">
        <v>670</v>
      </c>
      <c r="B35" s="47" t="s">
        <v>671</v>
      </c>
      <c r="C35" s="47" t="s">
        <v>625</v>
      </c>
    </row>
    <row r="36">
      <c r="A36" s="47" t="s">
        <v>672</v>
      </c>
      <c r="B36" s="47" t="s">
        <v>669</v>
      </c>
      <c r="C36" s="47" t="s">
        <v>632</v>
      </c>
    </row>
    <row r="37">
      <c r="A37" s="47" t="s">
        <v>673</v>
      </c>
      <c r="B37" s="47" t="s">
        <v>674</v>
      </c>
      <c r="C37" s="47" t="s">
        <v>607</v>
      </c>
    </row>
    <row r="38">
      <c r="A38" s="47" t="s">
        <v>675</v>
      </c>
      <c r="B38" s="47" t="s">
        <v>676</v>
      </c>
      <c r="C38" s="47" t="s">
        <v>632</v>
      </c>
    </row>
    <row r="39">
      <c r="A39" s="47" t="s">
        <v>677</v>
      </c>
      <c r="B39" s="47" t="s">
        <v>678</v>
      </c>
      <c r="C39" s="47" t="s">
        <v>625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2" max="2" width="74.5"/>
  </cols>
  <sheetData>
    <row r="1">
      <c r="A1" s="85" t="s">
        <v>592</v>
      </c>
      <c r="B1" s="85" t="s">
        <v>679</v>
      </c>
      <c r="C1" s="85" t="s">
        <v>680</v>
      </c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>
      <c r="A2" s="87" t="s">
        <v>681</v>
      </c>
      <c r="B2" s="87" t="s">
        <v>682</v>
      </c>
      <c r="C2" s="83">
        <v>600.0</v>
      </c>
    </row>
    <row r="3">
      <c r="A3" s="47" t="s">
        <v>683</v>
      </c>
      <c r="B3" s="6" t="s">
        <v>235</v>
      </c>
      <c r="C3" s="47" t="s">
        <v>684</v>
      </c>
    </row>
  </sheetData>
  <drawing r:id="rId1"/>
</worksheet>
</file>